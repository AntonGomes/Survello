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rea 1 - Ground Floor" sheetId="2" state="visible" r:id="rId2"/>
    <sheet xmlns:r="http://schemas.openxmlformats.org/officeDocument/2006/relationships" name="Area 2 - First Floor" sheetId="3" state="visible" r:id="rId3"/>
    <sheet xmlns:r="http://schemas.openxmlformats.org/officeDocument/2006/relationships" name="Area 3 - Basement" sheetId="4" state="visible" r:id="rId4"/>
    <sheet xmlns:r="http://schemas.openxmlformats.org/officeDocument/2006/relationships" name="Col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OF DILAPIDATIONS</t>
        </is>
      </c>
    </row>
    <row r="2"/>
    <row r="3">
      <c r="A3" t="inlineStr">
        <is>
          <t>Project: Retail Unit – Shop Stop</t>
        </is>
      </c>
    </row>
    <row r="4">
      <c r="A4" t="inlineStr">
        <is>
          <t>Address: 315-317 Sauchiehall Street, Glasgow</t>
        </is>
      </c>
    </row>
    <row r="5">
      <c r="A5" t="inlineStr">
        <is>
          <t>Date: 12 November 2025</t>
        </is>
      </c>
    </row>
    <row r="6">
      <c r="A6" t="inlineStr">
        <is>
          <t>Basis: Obligations under the Lease (repair and redecoration)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Lease</t>
        </is>
      </c>
      <c r="C1" t="inlineStr">
        <is>
          <t>Want of repair</t>
        </is>
      </c>
      <c r="D1" t="inlineStr">
        <is>
          <t>Remedy</t>
        </is>
      </c>
      <c r="E1" t="inlineStr">
        <is>
          <t>U</t>
        </is>
      </c>
      <c r="F1" t="inlineStr">
        <is>
          <t>Q</t>
        </is>
      </c>
      <c r="G1" t="inlineStr">
        <is>
          <t>R</t>
        </is>
      </c>
      <c r="H1" t="inlineStr">
        <is>
          <t>£</t>
        </is>
      </c>
    </row>
    <row r="2">
      <c r="A2" t="inlineStr">
        <is>
          <t>1.1</t>
        </is>
      </c>
      <c r="B2" t="inlineStr">
        <is>
          <t>One</t>
        </is>
      </c>
      <c r="C2" t="inlineStr">
        <is>
          <t>Rear elevation: three holes to stonework.</t>
        </is>
      </c>
      <c r="D2" t="inlineStr">
        <is>
          <t>Fill with colour-matched mortar and make good.</t>
        </is>
      </c>
      <c r="E2" t="inlineStr">
        <is>
          <t>No</t>
        </is>
      </c>
      <c r="F2" t="n">
        <v>3</v>
      </c>
      <c r="G2" t="n">
        <v>35</v>
      </c>
      <c r="H2">
        <f>F2*G2</f>
        <v/>
      </c>
    </row>
    <row r="3">
      <c r="A3" t="inlineStr">
        <is>
          <t>1.2</t>
        </is>
      </c>
      <c r="B3" t="inlineStr">
        <is>
          <t>Two</t>
        </is>
      </c>
      <c r="C3" t="inlineStr">
        <is>
          <t>Rear fire door and frame painted and scuffed.</t>
        </is>
      </c>
      <c r="D3" t="inlineStr">
        <is>
          <t>Prepare and redecorate both sides and frame with two coats gloss.</t>
        </is>
      </c>
      <c r="E3" t="inlineStr">
        <is>
          <t>m2</t>
        </is>
      </c>
      <c r="F3" t="n">
        <v>6</v>
      </c>
      <c r="G3" t="n">
        <v>18</v>
      </c>
      <c r="H3">
        <f>F3*G3</f>
        <v/>
      </c>
    </row>
    <row r="4">
      <c r="A4" t="inlineStr">
        <is>
          <t>1.3</t>
        </is>
      </c>
      <c r="B4" t="inlineStr">
        <is>
          <t>One</t>
        </is>
      </c>
      <c r="C4" t="inlineStr">
        <is>
          <t>Concrete step at rear door cracked and deteriorating.</t>
        </is>
      </c>
      <c r="D4" t="inlineStr">
        <is>
          <t>Break out loose material and reform step in high strength concrete.</t>
        </is>
      </c>
      <c r="E4" t="inlineStr">
        <is>
          <t>No</t>
        </is>
      </c>
      <c r="F4" t="n">
        <v>1</v>
      </c>
      <c r="G4" t="n">
        <v>180</v>
      </c>
      <c r="H4">
        <f>F4*G4</f>
        <v/>
      </c>
    </row>
    <row r="5">
      <c r="A5" t="inlineStr">
        <is>
          <t>1.4</t>
        </is>
      </c>
      <c r="B5" t="inlineStr">
        <is>
          <t>One</t>
        </is>
      </c>
      <c r="C5" t="inlineStr">
        <is>
          <t>Shopfront: timber elements rotten in places and defective.</t>
        </is>
      </c>
      <c r="D5" t="inlineStr">
        <is>
          <t>Cut out decayed timber, splice in new and make good.</t>
        </is>
      </c>
      <c r="E5" t="inlineStr">
        <is>
          <t>PS</t>
        </is>
      </c>
      <c r="F5" t="n">
        <v>1</v>
      </c>
      <c r="G5" t="n">
        <v>300</v>
      </c>
      <c r="H5">
        <f>F5*G5</f>
        <v/>
      </c>
    </row>
    <row r="6">
      <c r="A6" t="inlineStr">
        <is>
          <t>1.5</t>
        </is>
      </c>
      <c r="B6" t="inlineStr">
        <is>
          <t>Two</t>
        </is>
      </c>
      <c r="C6" t="inlineStr">
        <is>
          <t>Shopfront paintwork and door heavily scratched.</t>
        </is>
      </c>
      <c r="D6" t="inlineStr">
        <is>
          <t>Prepare and redecorate shopfront and door; clean glazing.</t>
        </is>
      </c>
      <c r="E6" t="inlineStr">
        <is>
          <t>m2</t>
        </is>
      </c>
      <c r="F6" t="n">
        <v>20</v>
      </c>
      <c r="G6" t="n">
        <v>18</v>
      </c>
      <c r="H6">
        <f>F6*G6</f>
        <v/>
      </c>
    </row>
    <row r="7">
      <c r="A7" t="inlineStr">
        <is>
          <t>1.6</t>
        </is>
      </c>
      <c r="B7" t="inlineStr">
        <is>
          <t>One</t>
        </is>
      </c>
      <c r="C7" t="inlineStr">
        <is>
          <t>Non‑compliant/loose lead flashing to fascia.</t>
        </is>
      </c>
      <c r="D7" t="inlineStr">
        <is>
          <t>Remove and replace lead flashing to fascia with new.</t>
        </is>
      </c>
      <c r="E7" t="inlineStr">
        <is>
          <t>m</t>
        </is>
      </c>
      <c r="F7" t="n">
        <v>6</v>
      </c>
      <c r="G7" t="n">
        <v>35</v>
      </c>
      <c r="H7">
        <f>F7*G7</f>
        <v/>
      </c>
    </row>
    <row r="8">
      <c r="A8" t="inlineStr">
        <is>
          <t>1.7</t>
        </is>
      </c>
      <c r="B8" t="inlineStr">
        <is>
          <t>Two</t>
        </is>
      </c>
      <c r="C8" t="inlineStr">
        <is>
          <t>Ceilings to sales area stained and patched; redundant fittings and several holes present.</t>
        </is>
      </c>
      <c r="D8" t="inlineStr">
        <is>
          <t>Remove redundant fittings, hack out blown areas, infill holes, stain block and redecorate.</t>
        </is>
      </c>
      <c r="E8" t="inlineStr">
        <is>
          <t>m2</t>
        </is>
      </c>
      <c r="F8" t="n">
        <v>60</v>
      </c>
      <c r="G8" t="n">
        <v>22</v>
      </c>
      <c r="H8">
        <f>F8*G8</f>
        <v/>
      </c>
    </row>
    <row r="9">
      <c r="A9" t="inlineStr">
        <is>
          <t>1.8</t>
        </is>
      </c>
      <c r="B9" t="inlineStr">
        <is>
          <t>One</t>
        </is>
      </c>
      <c r="C9" t="inlineStr">
        <is>
          <t>Ceiling – significant hole at south elevation.</t>
        </is>
      </c>
      <c r="D9" t="inlineStr">
        <is>
          <t>Infill with plasterboard on framing, tape and joint; make good.</t>
        </is>
      </c>
      <c r="E9" t="inlineStr">
        <is>
          <t>No</t>
        </is>
      </c>
      <c r="F9" t="n">
        <v>1</v>
      </c>
      <c r="G9" t="n">
        <v>180</v>
      </c>
      <c r="H9">
        <f>F9*G9</f>
        <v/>
      </c>
    </row>
    <row r="10">
      <c r="A10" t="inlineStr">
        <is>
          <t>1.9</t>
        </is>
      </c>
      <c r="B10" t="inlineStr">
        <is>
          <t>One</t>
        </is>
      </c>
      <c r="C10" t="inlineStr">
        <is>
          <t>Walls fitted with metal shelving and timber battens; surfaces holed and marked.</t>
        </is>
      </c>
      <c r="D10" t="inlineStr">
        <is>
          <t>Remove all shelving and battens, make good and redecorate throughout.</t>
        </is>
      </c>
      <c r="E10" t="inlineStr">
        <is>
          <t>m2</t>
        </is>
      </c>
      <c r="F10" t="n">
        <v>120</v>
      </c>
      <c r="G10" t="n">
        <v>20</v>
      </c>
      <c r="H10">
        <f>F10*G10</f>
        <v/>
      </c>
    </row>
    <row r="11">
      <c r="A11" t="inlineStr">
        <is>
          <t>1.10</t>
        </is>
      </c>
      <c r="B11" t="inlineStr">
        <is>
          <t>One</t>
        </is>
      </c>
      <c r="C11" t="inlineStr">
        <is>
          <t>Flooring to sales area: vinyl laminate sheet marked and failed.</t>
        </is>
      </c>
      <c r="D11" t="inlineStr">
        <is>
          <t>Remove existing and lay new commercial vinyl laminate incl. trims.</t>
        </is>
      </c>
      <c r="E11" t="inlineStr">
        <is>
          <t>m2</t>
        </is>
      </c>
      <c r="F11" t="n">
        <v>100</v>
      </c>
      <c r="G11" t="n">
        <v>35</v>
      </c>
      <c r="H11">
        <f>F11*G11</f>
        <v/>
      </c>
    </row>
    <row r="12">
      <c r="A12" t="inlineStr">
        <is>
          <t>1.11</t>
        </is>
      </c>
      <c r="B12" t="inlineStr">
        <is>
          <t>One</t>
        </is>
      </c>
      <c r="C12" t="inlineStr">
        <is>
          <t>L‑shaped counter and raised platform to rear of counter.</t>
        </is>
      </c>
      <c r="D12" t="inlineStr">
        <is>
          <t>Carefully remove counter and raised platform; make good floor and walls.</t>
        </is>
      </c>
      <c r="E12" t="inlineStr">
        <is>
          <t>PS</t>
        </is>
      </c>
      <c r="F12" t="n">
        <v>1</v>
      </c>
      <c r="G12" t="n">
        <v>350</v>
      </c>
      <c r="H12">
        <f>F12*G12</f>
        <v/>
      </c>
    </row>
    <row r="13">
      <c r="A13" t="inlineStr">
        <is>
          <t>1.12</t>
        </is>
      </c>
      <c r="B13" t="inlineStr">
        <is>
          <t>One</t>
        </is>
      </c>
      <c r="C13" t="inlineStr">
        <is>
          <t>Tenant’s fixtures and waste throughout front shop.</t>
        </is>
      </c>
      <c r="D13" t="inlineStr">
        <is>
          <t>Clear and remove from site; leave swept clean.</t>
        </is>
      </c>
      <c r="E13" t="inlineStr">
        <is>
          <t>PS</t>
        </is>
      </c>
      <c r="F13" t="n">
        <v>1</v>
      </c>
      <c r="G13" t="n">
        <v>400</v>
      </c>
      <c r="H13">
        <f>F13*G13</f>
        <v/>
      </c>
    </row>
    <row r="14">
      <c r="A14" t="inlineStr">
        <is>
          <t>Total</t>
        </is>
      </c>
      <c r="H14">
        <f>SUM(H2:H13)</f>
        <v/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Lease</t>
        </is>
      </c>
      <c r="C1" t="inlineStr">
        <is>
          <t>Want of repair</t>
        </is>
      </c>
      <c r="D1" t="inlineStr">
        <is>
          <t>Remedy</t>
        </is>
      </c>
      <c r="E1" t="inlineStr">
        <is>
          <t>U</t>
        </is>
      </c>
      <c r="F1" t="inlineStr">
        <is>
          <t>Q</t>
        </is>
      </c>
      <c r="G1" t="inlineStr">
        <is>
          <t>R</t>
        </is>
      </c>
      <c r="H1" t="inlineStr">
        <is>
          <t>£</t>
        </is>
      </c>
    </row>
    <row r="2">
      <c r="A2" t="inlineStr">
        <is>
          <t>2.1</t>
        </is>
      </c>
      <c r="B2" t="inlineStr">
        <is>
          <t>Four</t>
        </is>
      </c>
      <c r="C2" t="inlineStr">
        <is>
          <t>Stairwell enclosed with stud partitions and door.</t>
        </is>
      </c>
      <c r="D2" t="inlineStr">
        <is>
          <t>Remove stud partitions and door to stairwell; make good surfaces.</t>
        </is>
      </c>
      <c r="E2" t="inlineStr">
        <is>
          <t>PS</t>
        </is>
      </c>
      <c r="F2" t="n">
        <v>1</v>
      </c>
      <c r="G2" t="n">
        <v>300</v>
      </c>
      <c r="H2">
        <f>F2*G2</f>
        <v/>
      </c>
    </row>
    <row r="3">
      <c r="A3" t="inlineStr">
        <is>
          <t>2.2</t>
        </is>
      </c>
      <c r="B3" t="inlineStr">
        <is>
          <t>Two</t>
        </is>
      </c>
      <c r="C3" t="inlineStr">
        <is>
          <t>Stair walls and handrail marked/soiled.</t>
        </is>
      </c>
      <c r="D3" t="inlineStr">
        <is>
          <t>Prepare and redecorate walls and woodwork; clean and redecorate handrail/stringers.</t>
        </is>
      </c>
      <c r="E3" t="inlineStr">
        <is>
          <t>m2</t>
        </is>
      </c>
      <c r="F3" t="n">
        <v>40</v>
      </c>
      <c r="G3" t="n">
        <v>14</v>
      </c>
      <c r="H3">
        <f>F3*G3</f>
        <v/>
      </c>
    </row>
    <row r="4">
      <c r="A4" t="inlineStr">
        <is>
          <t>2.3</t>
        </is>
      </c>
      <c r="B4" t="inlineStr">
        <is>
          <t>One</t>
        </is>
      </c>
      <c r="C4" t="inlineStr">
        <is>
          <t>Stair nosings worn.</t>
        </is>
      </c>
      <c r="D4" t="inlineStr">
        <is>
          <t>Replace vinyl nosings to treads.</t>
        </is>
      </c>
      <c r="E4" t="inlineStr">
        <is>
          <t>m</t>
        </is>
      </c>
      <c r="F4" t="n">
        <v>10</v>
      </c>
      <c r="G4" t="n">
        <v>12</v>
      </c>
      <c r="H4">
        <f>F4*G4</f>
        <v/>
      </c>
    </row>
    <row r="5">
      <c r="A5" t="inlineStr">
        <is>
          <t>2.4</t>
        </is>
      </c>
      <c r="B5" t="inlineStr">
        <is>
          <t>Two</t>
        </is>
      </c>
      <c r="C5" t="inlineStr">
        <is>
          <t>Corridor walls soiled with minor holes.</t>
        </is>
      </c>
      <c r="D5" t="inlineStr">
        <is>
          <t>Fill holes and redecorate.</t>
        </is>
      </c>
      <c r="E5" t="inlineStr">
        <is>
          <t>m2</t>
        </is>
      </c>
      <c r="F5" t="n">
        <v>30</v>
      </c>
      <c r="G5" t="n">
        <v>14</v>
      </c>
      <c r="H5">
        <f>F5*G5</f>
        <v/>
      </c>
    </row>
    <row r="6">
      <c r="A6" t="inlineStr">
        <is>
          <t>2.5</t>
        </is>
      </c>
      <c r="B6" t="inlineStr">
        <is>
          <t>One</t>
        </is>
      </c>
      <c r="C6" t="inlineStr">
        <is>
          <t>Corridor light fitting blinking.</t>
        </is>
      </c>
      <c r="D6" t="inlineStr">
        <is>
          <t>Replace light fitting and test.</t>
        </is>
      </c>
      <c r="E6" t="inlineStr">
        <is>
          <t>No</t>
        </is>
      </c>
      <c r="F6" t="n">
        <v>1</v>
      </c>
      <c r="G6" t="n">
        <v>85</v>
      </c>
      <c r="H6">
        <f>F6*G6</f>
        <v/>
      </c>
    </row>
    <row r="7">
      <c r="A7" t="inlineStr">
        <is>
          <t>2.6</t>
        </is>
      </c>
      <c r="B7" t="inlineStr">
        <is>
          <t>One</t>
        </is>
      </c>
      <c r="C7" t="inlineStr">
        <is>
          <t>Corridor laminate flooring poorly applied and marked.</t>
        </is>
      </c>
      <c r="D7" t="inlineStr">
        <is>
          <t>Remove and replace with new commercial vinyl laminate.</t>
        </is>
      </c>
      <c r="E7" t="inlineStr">
        <is>
          <t>m2</t>
        </is>
      </c>
      <c r="F7" t="n">
        <v>20</v>
      </c>
      <c r="G7" t="n">
        <v>35</v>
      </c>
      <c r="H7">
        <f>F7*G7</f>
        <v/>
      </c>
    </row>
    <row r="8">
      <c r="A8" t="inlineStr">
        <is>
          <t>2.7</t>
        </is>
      </c>
      <c r="B8" t="inlineStr">
        <is>
          <t>One</t>
        </is>
      </c>
      <c r="C8" t="inlineStr">
        <is>
          <t>Electrical cupboard – missing cover to distribution board.</t>
        </is>
      </c>
      <c r="D8" t="inlineStr">
        <is>
          <t>Provide and fit correct cover to DB.</t>
        </is>
      </c>
      <c r="E8" t="inlineStr">
        <is>
          <t>No</t>
        </is>
      </c>
      <c r="F8" t="n">
        <v>1</v>
      </c>
      <c r="G8" t="n">
        <v>120</v>
      </c>
      <c r="H8">
        <f>F8*G8</f>
        <v/>
      </c>
    </row>
    <row r="9">
      <c r="A9" t="inlineStr">
        <is>
          <t>2.8</t>
        </is>
      </c>
      <c r="B9" t="inlineStr">
        <is>
          <t>One</t>
        </is>
      </c>
      <c r="C9" t="inlineStr">
        <is>
          <t>Electrical cupboard – suspended ceiling grid deformed with missing tiles and marked lights.</t>
        </is>
      </c>
      <c r="D9" t="inlineStr">
        <is>
          <t>Renew grid and tiles and replace damaged light fitting.</t>
        </is>
      </c>
      <c r="E9" t="inlineStr">
        <is>
          <t>m2</t>
        </is>
      </c>
      <c r="F9" t="n">
        <v>8</v>
      </c>
      <c r="G9" t="n">
        <v>32</v>
      </c>
      <c r="H9">
        <f>F9*G9</f>
        <v/>
      </c>
    </row>
    <row r="10">
      <c r="A10" t="inlineStr">
        <is>
          <t>2.9</t>
        </is>
      </c>
      <c r="B10" t="inlineStr">
        <is>
          <t>One</t>
        </is>
      </c>
      <c r="C10" t="inlineStr">
        <is>
          <t>Electrical cupboard – floor rough and debris present.</t>
        </is>
      </c>
      <c r="D10" t="inlineStr">
        <is>
          <t>Clear debris and lightly scarify concrete floor.</t>
        </is>
      </c>
      <c r="E10" t="inlineStr">
        <is>
          <t>m2</t>
        </is>
      </c>
      <c r="F10" t="n">
        <v>8</v>
      </c>
      <c r="G10" t="n">
        <v>7</v>
      </c>
      <c r="H10">
        <f>F10*G10</f>
        <v/>
      </c>
    </row>
    <row r="11">
      <c r="A11" t="inlineStr">
        <is>
          <t>Total</t>
        </is>
      </c>
      <c r="H11">
        <f>SUM(H2:H10)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Lease</t>
        </is>
      </c>
      <c r="C1" t="inlineStr">
        <is>
          <t>Want of repair</t>
        </is>
      </c>
      <c r="D1" t="inlineStr">
        <is>
          <t>Remedy</t>
        </is>
      </c>
      <c r="E1" t="inlineStr">
        <is>
          <t>U</t>
        </is>
      </c>
      <c r="F1" t="inlineStr">
        <is>
          <t>Q</t>
        </is>
      </c>
      <c r="G1" t="inlineStr">
        <is>
          <t>R</t>
        </is>
      </c>
      <c r="H1" t="inlineStr">
        <is>
          <t>£</t>
        </is>
      </c>
    </row>
    <row r="2">
      <c r="A2" t="inlineStr">
        <is>
          <t>3.1</t>
        </is>
      </c>
      <c r="B2" t="inlineStr">
        <is>
          <t>Two</t>
        </is>
      </c>
      <c r="C2" t="inlineStr">
        <is>
          <t>Store room ceiling soiled with mould patches.</t>
        </is>
      </c>
      <c r="D2" t="inlineStr">
        <is>
          <t>Clean, treat with fungicidal wash and redecorate.</t>
        </is>
      </c>
      <c r="E2" t="inlineStr">
        <is>
          <t>m2</t>
        </is>
      </c>
      <c r="F2" t="n">
        <v>25</v>
      </c>
      <c r="G2" t="n">
        <v>18</v>
      </c>
      <c r="H2">
        <f>F2*G2</f>
        <v/>
      </c>
    </row>
    <row r="3">
      <c r="A3" t="inlineStr">
        <is>
          <t>3.2</t>
        </is>
      </c>
      <c r="B3" t="inlineStr">
        <is>
          <t>One</t>
        </is>
      </c>
      <c r="C3" t="inlineStr">
        <is>
          <t>Emergency light defective.</t>
        </is>
      </c>
      <c r="D3" t="inlineStr">
        <is>
          <t>Replace with new LED emergency bulkhead and test.</t>
        </is>
      </c>
      <c r="E3" t="inlineStr">
        <is>
          <t>No</t>
        </is>
      </c>
      <c r="F3" t="n">
        <v>1</v>
      </c>
      <c r="G3" t="n">
        <v>85</v>
      </c>
      <c r="H3">
        <f>F3*G3</f>
        <v/>
      </c>
    </row>
    <row r="4">
      <c r="A4" t="inlineStr">
        <is>
          <t>3.3</t>
        </is>
      </c>
      <c r="B4" t="inlineStr">
        <is>
          <t>One</t>
        </is>
      </c>
      <c r="C4" t="inlineStr">
        <is>
          <t>Speaker system and redundant fittings to ceiling.</t>
        </is>
      </c>
      <c r="D4" t="inlineStr">
        <is>
          <t>Remove redundant equipment and make good.</t>
        </is>
      </c>
      <c r="E4" t="inlineStr">
        <is>
          <t>No</t>
        </is>
      </c>
      <c r="F4" t="n">
        <v>2</v>
      </c>
      <c r="G4" t="n">
        <v>25</v>
      </c>
      <c r="H4">
        <f>F4*G4</f>
        <v/>
      </c>
    </row>
    <row r="5">
      <c r="A5" t="inlineStr">
        <is>
          <t>3.4</t>
        </is>
      </c>
      <c r="B5" t="inlineStr">
        <is>
          <t>Two</t>
        </is>
      </c>
      <c r="C5" t="inlineStr">
        <is>
          <t>Store room walls marked with fixing holes.</t>
        </is>
      </c>
      <c r="D5" t="inlineStr">
        <is>
          <t>Fill and redecorate throughout.</t>
        </is>
      </c>
      <c r="E5" t="inlineStr">
        <is>
          <t>m2</t>
        </is>
      </c>
      <c r="F5" t="n">
        <v>80</v>
      </c>
      <c r="G5" t="n">
        <v>14</v>
      </c>
      <c r="H5">
        <f>F5*G5</f>
        <v/>
      </c>
    </row>
    <row r="6">
      <c r="A6" t="inlineStr">
        <is>
          <t>3.5</t>
        </is>
      </c>
      <c r="B6" t="inlineStr">
        <is>
          <t>One</t>
        </is>
      </c>
      <c r="C6" t="inlineStr">
        <is>
          <t>Wall‑mounted mechanical ventilation not working.</t>
        </is>
      </c>
      <c r="D6" t="inlineStr">
        <is>
          <t>Service or remove and make good.</t>
        </is>
      </c>
      <c r="E6" t="inlineStr">
        <is>
          <t>No</t>
        </is>
      </c>
      <c r="F6" t="n">
        <v>1</v>
      </c>
      <c r="G6" t="n">
        <v>90</v>
      </c>
      <c r="H6">
        <f>F6*G6</f>
        <v/>
      </c>
    </row>
    <row r="7">
      <c r="A7" t="inlineStr">
        <is>
          <t>3.6</t>
        </is>
      </c>
      <c r="B7" t="inlineStr">
        <is>
          <t>One</t>
        </is>
      </c>
      <c r="C7" t="inlineStr">
        <is>
          <t>Laminate vinyl floor to store missing and stained.</t>
        </is>
      </c>
      <c r="D7" t="inlineStr">
        <is>
          <t>Remove and replace with new vinyl to full area.</t>
        </is>
      </c>
      <c r="E7" t="inlineStr">
        <is>
          <t>m2</t>
        </is>
      </c>
      <c r="F7" t="n">
        <v>60</v>
      </c>
      <c r="G7" t="n">
        <v>35</v>
      </c>
      <c r="H7">
        <f>F7*G7</f>
        <v/>
      </c>
    </row>
    <row r="8">
      <c r="A8" t="inlineStr">
        <is>
          <t>3.7</t>
        </is>
      </c>
      <c r="B8" t="inlineStr">
        <is>
          <t>One</t>
        </is>
      </c>
      <c r="C8" t="inlineStr">
        <is>
          <t>No door to store room.</t>
        </is>
      </c>
      <c r="D8" t="inlineStr">
        <is>
          <t>Supply and hang new solid core door with ironmongery.</t>
        </is>
      </c>
      <c r="E8" t="inlineStr">
        <is>
          <t>No</t>
        </is>
      </c>
      <c r="F8" t="n">
        <v>1</v>
      </c>
      <c r="G8" t="n">
        <v>220</v>
      </c>
      <c r="H8">
        <f>F8*G8</f>
        <v/>
      </c>
    </row>
    <row r="9">
      <c r="A9" t="inlineStr">
        <is>
          <t>3.8</t>
        </is>
      </c>
      <c r="B9" t="inlineStr">
        <is>
          <t>Two</t>
        </is>
      </c>
      <c r="C9" t="inlineStr">
        <is>
          <t>Rear bedroom/office – walls and ceiling require redecoration; impact damage present.</t>
        </is>
      </c>
      <c r="D9" t="inlineStr">
        <is>
          <t>Repair damaged areas, remove whiteboards, make good and redecorate.</t>
        </is>
      </c>
      <c r="E9" t="inlineStr">
        <is>
          <t>m2</t>
        </is>
      </c>
      <c r="F9" t="n">
        <v>60</v>
      </c>
      <c r="G9" t="n">
        <v>14</v>
      </c>
      <c r="H9">
        <f>F9*G9</f>
        <v/>
      </c>
    </row>
    <row r="10">
      <c r="A10" t="inlineStr">
        <is>
          <t>3.9</t>
        </is>
      </c>
      <c r="B10" t="inlineStr">
        <is>
          <t>One</t>
        </is>
      </c>
      <c r="C10" t="inlineStr">
        <is>
          <t>Tiles to east wall approx 5m x 0.5m to be removed and wall made good.</t>
        </is>
      </c>
      <c r="D10" t="inlineStr">
        <is>
          <t>Remove tiles, make good substrate and skim finish.</t>
        </is>
      </c>
      <c r="E10" t="inlineStr">
        <is>
          <t>m2</t>
        </is>
      </c>
      <c r="F10" t="n">
        <v>2.5</v>
      </c>
      <c r="G10" t="n">
        <v>45</v>
      </c>
      <c r="H10">
        <f>F10*G10</f>
        <v/>
      </c>
    </row>
    <row r="11">
      <c r="A11" t="inlineStr">
        <is>
          <t>3.10</t>
        </is>
      </c>
      <c r="B11" t="inlineStr">
        <is>
          <t>One</t>
        </is>
      </c>
      <c r="C11" t="inlineStr">
        <is>
          <t>Slow/obsolete light fitting.</t>
        </is>
      </c>
      <c r="D11" t="inlineStr">
        <is>
          <t>Replace with new LED fitting.</t>
        </is>
      </c>
      <c r="E11" t="inlineStr">
        <is>
          <t>No</t>
        </is>
      </c>
      <c r="F11" t="n">
        <v>1</v>
      </c>
      <c r="G11" t="n">
        <v>85</v>
      </c>
      <c r="H11">
        <f>F11*G11</f>
        <v/>
      </c>
    </row>
    <row r="12">
      <c r="A12" t="inlineStr">
        <is>
          <t>3.11</t>
        </is>
      </c>
      <c r="B12" t="inlineStr">
        <is>
          <t>One</t>
        </is>
      </c>
      <c r="C12" t="inlineStr">
        <is>
          <t>Electric convector heater present.</t>
        </is>
      </c>
      <c r="D12" t="inlineStr">
        <is>
          <t>Remove and make safe electrically.</t>
        </is>
      </c>
      <c r="E12" t="inlineStr">
        <is>
          <t>No</t>
        </is>
      </c>
      <c r="F12" t="n">
        <v>1</v>
      </c>
      <c r="G12" t="n">
        <v>70</v>
      </c>
      <c r="H12">
        <f>F12*G12</f>
        <v/>
      </c>
    </row>
    <row r="13">
      <c r="A13" t="inlineStr">
        <is>
          <t>3.12</t>
        </is>
      </c>
      <c r="B13" t="inlineStr">
        <is>
          <t>One</t>
        </is>
      </c>
      <c r="C13" t="inlineStr">
        <is>
          <t>Install new skirting to east wall.</t>
        </is>
      </c>
      <c r="D13" t="inlineStr">
        <is>
          <t>Supply and fix new timber skirting primed and painted.</t>
        </is>
      </c>
      <c r="E13" t="inlineStr">
        <is>
          <t>m</t>
        </is>
      </c>
      <c r="F13" t="n">
        <v>5</v>
      </c>
      <c r="G13" t="n">
        <v>9</v>
      </c>
      <c r="H13">
        <f>F13*G13</f>
        <v/>
      </c>
    </row>
    <row r="14">
      <c r="A14" t="inlineStr">
        <is>
          <t>3.13</t>
        </is>
      </c>
      <c r="B14" t="inlineStr">
        <is>
          <t>One</t>
        </is>
      </c>
      <c r="C14" t="inlineStr">
        <is>
          <t>Carpet tiles very poor and loose.</t>
        </is>
      </c>
      <c r="D14" t="inlineStr">
        <is>
          <t>Lift and replace with new carpet tiles incl. prepping.</t>
        </is>
      </c>
      <c r="E14" t="inlineStr">
        <is>
          <t>m2</t>
        </is>
      </c>
      <c r="F14" t="n">
        <v>20</v>
      </c>
      <c r="G14" t="n">
        <v>30</v>
      </c>
      <c r="H14">
        <f>F14*G14</f>
        <v/>
      </c>
    </row>
    <row r="15">
      <c r="A15" t="inlineStr">
        <is>
          <t>3.14</t>
        </is>
      </c>
      <c r="B15" t="inlineStr">
        <is>
          <t>One</t>
        </is>
      </c>
      <c r="C15" t="inlineStr">
        <is>
          <t>Remove bed and miscellaneous fittings.</t>
        </is>
      </c>
      <c r="D15" t="inlineStr">
        <is>
          <t>Strip out and cart away; leave clear.</t>
        </is>
      </c>
      <c r="E15" t="inlineStr">
        <is>
          <t>PS</t>
        </is>
      </c>
      <c r="F15" t="n">
        <v>1</v>
      </c>
      <c r="G15" t="n">
        <v>120</v>
      </c>
      <c r="H15">
        <f>F15*G15</f>
        <v/>
      </c>
    </row>
    <row r="16">
      <c r="A16" t="inlineStr">
        <is>
          <t>3.15</t>
        </is>
      </c>
      <c r="B16" t="inlineStr">
        <is>
          <t>Two</t>
        </is>
      </c>
      <c r="C16" t="inlineStr">
        <is>
          <t>Men’s toilet – ceilings and walls soiled; fittings loose.</t>
        </is>
      </c>
      <c r="D16" t="inlineStr">
        <is>
          <t>Redecorate ceilings and walls; replace defective light fittings and make good.</t>
        </is>
      </c>
      <c r="E16" t="inlineStr">
        <is>
          <t>m2</t>
        </is>
      </c>
      <c r="F16" t="n">
        <v>40</v>
      </c>
      <c r="G16" t="n">
        <v>18</v>
      </c>
      <c r="H16">
        <f>F16*G16</f>
        <v/>
      </c>
    </row>
    <row r="17">
      <c r="A17" t="inlineStr">
        <is>
          <t>3.16</t>
        </is>
      </c>
      <c r="B17" t="inlineStr">
        <is>
          <t>One</t>
        </is>
      </c>
      <c r="C17" t="inlineStr">
        <is>
          <t>Men’s toilet – replace broken downlighters.</t>
        </is>
      </c>
      <c r="D17" t="inlineStr">
        <is>
          <t>Supply and fit 4 new downlighters and test.</t>
        </is>
      </c>
      <c r="E17" t="inlineStr">
        <is>
          <t>No</t>
        </is>
      </c>
      <c r="F17" t="n">
        <v>4</v>
      </c>
      <c r="G17" t="n">
        <v>60</v>
      </c>
      <c r="H17">
        <f>F17*G17</f>
        <v/>
      </c>
    </row>
    <row r="18">
      <c r="A18" t="inlineStr">
        <is>
          <t>3.17</t>
        </is>
      </c>
      <c r="B18" t="inlineStr">
        <is>
          <t>One</t>
        </is>
      </c>
      <c r="C18" t="inlineStr">
        <is>
          <t>Men’s toilet – ceramic wall finish soiled with missing tile.</t>
        </is>
      </c>
      <c r="D18" t="inlineStr">
        <is>
          <t>Regrout, replace one broken tile and make good.</t>
        </is>
      </c>
      <c r="E18" t="inlineStr">
        <is>
          <t>m2</t>
        </is>
      </c>
      <c r="F18" t="n">
        <v>4</v>
      </c>
      <c r="G18" t="n">
        <v>30</v>
      </c>
      <c r="H18">
        <f>F18*G18</f>
        <v/>
      </c>
    </row>
    <row r="19">
      <c r="A19" t="inlineStr">
        <is>
          <t>3.18</t>
        </is>
      </c>
      <c r="B19" t="inlineStr">
        <is>
          <t>One</t>
        </is>
      </c>
      <c r="C19" t="inlineStr">
        <is>
          <t>Men’s toilet – vinyl flooring stained.</t>
        </is>
      </c>
      <c r="D19" t="inlineStr">
        <is>
          <t>Replace with new non‑slip vinyl incl. coved skirtings.</t>
        </is>
      </c>
      <c r="E19" t="inlineStr">
        <is>
          <t>m2</t>
        </is>
      </c>
      <c r="F19" t="n">
        <v>12</v>
      </c>
      <c r="G19" t="n">
        <v>35</v>
      </c>
      <c r="H19">
        <f>F19*G19</f>
        <v/>
      </c>
    </row>
    <row r="20">
      <c r="A20" t="inlineStr">
        <is>
          <t>3.19</t>
        </is>
      </c>
      <c r="B20" t="inlineStr">
        <is>
          <t>One</t>
        </is>
      </c>
      <c r="C20" t="inlineStr">
        <is>
          <t>Men’s toilet – sanitaryware to be cleaned and serviced; ventilation not working.</t>
        </is>
      </c>
      <c r="D20" t="inlineStr">
        <is>
          <t>Clean and service WCs, urinal and WHBs and reinstate/repair mechanical extract.</t>
        </is>
      </c>
      <c r="E20" t="inlineStr">
        <is>
          <t>PS</t>
        </is>
      </c>
      <c r="F20" t="n">
        <v>1</v>
      </c>
      <c r="G20" t="n">
        <v>160</v>
      </c>
      <c r="H20">
        <f>F20*G20</f>
        <v/>
      </c>
    </row>
    <row r="21">
      <c r="A21" t="inlineStr">
        <is>
          <t>3.20</t>
        </is>
      </c>
      <c r="B21" t="inlineStr">
        <is>
          <t>Two</t>
        </is>
      </c>
      <c r="C21" t="inlineStr">
        <is>
          <t>Female toilet – redecorate as men’s.</t>
        </is>
      </c>
      <c r="D21" t="inlineStr">
        <is>
          <t>Prepare and redecorate ceilings and walls.</t>
        </is>
      </c>
      <c r="E21" t="inlineStr">
        <is>
          <t>m2</t>
        </is>
      </c>
      <c r="F21" t="n">
        <v>35</v>
      </c>
      <c r="G21" t="n">
        <v>18</v>
      </c>
      <c r="H21">
        <f>F21*G21</f>
        <v/>
      </c>
    </row>
    <row r="22">
      <c r="A22" t="inlineStr">
        <is>
          <t>3.21</t>
        </is>
      </c>
      <c r="B22" t="inlineStr">
        <is>
          <t>One</t>
        </is>
      </c>
      <c r="C22" t="inlineStr">
        <is>
          <t>Female toilet – two downlighters broken.</t>
        </is>
      </c>
      <c r="D22" t="inlineStr">
        <is>
          <t>Replace 2 no. downlighters and test.</t>
        </is>
      </c>
      <c r="E22" t="inlineStr">
        <is>
          <t>No</t>
        </is>
      </c>
      <c r="F22" t="n">
        <v>2</v>
      </c>
      <c r="G22" t="n">
        <v>60</v>
      </c>
      <c r="H22">
        <f>F22*G22</f>
        <v/>
      </c>
    </row>
    <row r="23">
      <c r="A23" t="inlineStr">
        <is>
          <t>3.22</t>
        </is>
      </c>
      <c r="B23" t="inlineStr">
        <is>
          <t>One</t>
        </is>
      </c>
      <c r="C23" t="inlineStr">
        <is>
          <t>Female toilet – vinyl flooring marked.</t>
        </is>
      </c>
      <c r="D23" t="inlineStr">
        <is>
          <t>Replace with new non‑slip vinyl.</t>
        </is>
      </c>
      <c r="E23" t="inlineStr">
        <is>
          <t>m2</t>
        </is>
      </c>
      <c r="F23" t="n">
        <v>10</v>
      </c>
      <c r="G23" t="n">
        <v>35</v>
      </c>
      <c r="H23">
        <f>F23*G23</f>
        <v/>
      </c>
    </row>
    <row r="24">
      <c r="A24" t="inlineStr">
        <is>
          <t>3.23</t>
        </is>
      </c>
      <c r="B24" t="inlineStr">
        <is>
          <t>One</t>
        </is>
      </c>
      <c r="C24" t="inlineStr">
        <is>
          <t>Female toilet – clean and service sanitaryware and ventilation.</t>
        </is>
      </c>
      <c r="D24" t="inlineStr">
        <is>
          <t>Thoroughly clean and service WHBs and WCs; test extract.</t>
        </is>
      </c>
      <c r="E24" t="inlineStr">
        <is>
          <t>PS</t>
        </is>
      </c>
      <c r="F24" t="n">
        <v>1</v>
      </c>
      <c r="G24" t="n">
        <v>140</v>
      </c>
      <c r="H24">
        <f>F24*G24</f>
        <v/>
      </c>
    </row>
    <row r="25">
      <c r="A25" t="inlineStr">
        <is>
          <t>3.24</t>
        </is>
      </c>
      <c r="B25" t="inlineStr">
        <is>
          <t>Two</t>
        </is>
      </c>
      <c r="C25" t="inlineStr">
        <is>
          <t>Rear store – ceilings and walls require redecoration.</t>
        </is>
      </c>
      <c r="D25" t="inlineStr">
        <is>
          <t>Prepare and redecorate ceilings, walls and skirtings.</t>
        </is>
      </c>
      <c r="E25" t="inlineStr">
        <is>
          <t>m2</t>
        </is>
      </c>
      <c r="F25" t="n">
        <v>50</v>
      </c>
      <c r="G25" t="n">
        <v>18</v>
      </c>
      <c r="H25">
        <f>F25*G25</f>
        <v/>
      </c>
    </row>
    <row r="26">
      <c r="A26" t="inlineStr">
        <is>
          <t>3.25</t>
        </is>
      </c>
      <c r="B26" t="inlineStr">
        <is>
          <t>One</t>
        </is>
      </c>
      <c r="C26" t="inlineStr">
        <is>
          <t>Rear store – laminate floor to be renewed.</t>
        </is>
      </c>
      <c r="D26" t="inlineStr">
        <is>
          <t>Remove and replace laminate floor with commercial vinyl.</t>
        </is>
      </c>
      <c r="E26" t="inlineStr">
        <is>
          <t>m2</t>
        </is>
      </c>
      <c r="F26" t="n">
        <v>25</v>
      </c>
      <c r="G26" t="n">
        <v>35</v>
      </c>
      <c r="H26">
        <f>F26*G26</f>
        <v/>
      </c>
    </row>
    <row r="27">
      <c r="A27" t="inlineStr">
        <is>
          <t>3.26</t>
        </is>
      </c>
      <c r="B27" t="inlineStr">
        <is>
          <t>One</t>
        </is>
      </c>
      <c r="C27" t="inlineStr">
        <is>
          <t>Rear store – emergency light requires replacement.</t>
        </is>
      </c>
      <c r="D27" t="inlineStr">
        <is>
          <t>Install new LED emergency light fitting and test.</t>
        </is>
      </c>
      <c r="E27" t="inlineStr">
        <is>
          <t>No</t>
        </is>
      </c>
      <c r="F27" t="n">
        <v>1</v>
      </c>
      <c r="G27" t="n">
        <v>85</v>
      </c>
      <c r="H27">
        <f>F27*G27</f>
        <v/>
      </c>
    </row>
    <row r="28">
      <c r="A28" t="inlineStr">
        <is>
          <t>3.27</t>
        </is>
      </c>
      <c r="B28" t="inlineStr">
        <is>
          <t>One</t>
        </is>
      </c>
      <c r="C28" t="inlineStr">
        <is>
          <t>Rear store – remove desk to RHS on entry.</t>
        </is>
      </c>
      <c r="D28" t="inlineStr">
        <is>
          <t>Strip out desk and make good.</t>
        </is>
      </c>
      <c r="E28" t="inlineStr">
        <is>
          <t>PS</t>
        </is>
      </c>
      <c r="F28" t="n">
        <v>1</v>
      </c>
      <c r="G28" t="n">
        <v>60</v>
      </c>
      <c r="H28">
        <f>F28*G28</f>
        <v/>
      </c>
    </row>
    <row r="29">
      <c r="A29" t="inlineStr">
        <is>
          <t>Total</t>
        </is>
      </c>
      <c r="H29">
        <f>SUM(H2:H28)</f>
        <v/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Total (£)</t>
        </is>
      </c>
    </row>
    <row r="2">
      <c r="A2" t="inlineStr">
        <is>
          <t>Area 1 - Ground Floor</t>
        </is>
      </c>
      <c r="B2">
        <f>'Area 1 - Ground Floor'!H14</f>
        <v/>
      </c>
    </row>
    <row r="3">
      <c r="A3" t="inlineStr">
        <is>
          <t>Area 2 - First Floor</t>
        </is>
      </c>
      <c r="B3">
        <f>'Area 2 - First Floor'!H11</f>
        <v/>
      </c>
    </row>
    <row r="4">
      <c r="A4" t="inlineStr">
        <is>
          <t>Area 3 - Basement</t>
        </is>
      </c>
      <c r="B4">
        <f>'Area 3 - Basement'!H29</f>
        <v/>
      </c>
    </row>
    <row r="5">
      <c r="A5" t="inlineStr">
        <is>
          <t>Grand Total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2025-11-12T20:30:32Z</dcterms:created>
  <dcterms:modified xmlns:dcterms="http://purl.org/dc/terms/" xmlns:xsi="http://www.w3.org/2001/XMLSchema-instance" xsi:type="dcterms:W3CDTF">2025-11-12T20:30:32Z</dcterms:modified>
</cp:coreProperties>
</file>