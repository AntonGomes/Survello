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124226"/>
  <mc:AlternateContent xmlns:mc="http://schemas.openxmlformats.org/markup-compatibility/2006">
    <mc:Choice Requires="x15">
      <x15ac:absPath xmlns:x15ac="http://schemas.microsoft.com/office/spreadsheetml/2010/11/ac" url="/Users/anton/Development/docgen/examples/"/>
    </mc:Choice>
  </mc:AlternateContent>
  <xr:revisionPtr revIDLastSave="0" documentId="13_ncr:1_{CFE9FA43-13F9-3E44-81BE-3B351E6E43C1}" xr6:coauthVersionLast="47" xr6:coauthVersionMax="47" xr10:uidLastSave="{00000000-0000-0000-0000-000000000000}"/>
  <bookViews>
    <workbookView xWindow="23360" yWindow="-3160" windowWidth="38400" windowHeight="20980" tabRatio="879" activeTab="5" xr2:uid="{1B25AC1A-66B5-44D8-9BD5-7A8BD71FB91B}"/>
  </bookViews>
  <sheets>
    <sheet name="Front Pages" sheetId="19" r:id="rId1"/>
    <sheet name="External" sheetId="10" r:id="rId2"/>
    <sheet name="Ground Floor" sheetId="3" r:id="rId3"/>
    <sheet name="First Floor" sheetId="4" r:id="rId4"/>
    <sheet name="General Items" sheetId="7" r:id="rId5"/>
    <sheet name="Collection" sheetId="17" r:id="rId6"/>
  </sheets>
  <definedNames>
    <definedName name="_xlnm.Print_Area" localSheetId="5">Collection!$A$1:$H$72</definedName>
    <definedName name="_xlnm.Print_Area" localSheetId="1">External!$A$1:$H$287</definedName>
    <definedName name="_xlnm.Print_Area" localSheetId="3">'First Floor'!$A$1:$H$581</definedName>
    <definedName name="_xlnm.Print_Area" localSheetId="0">'Front Pages'!$A$1:$H$115</definedName>
    <definedName name="_xlnm.Print_Area" localSheetId="4">'General Items'!$A$1:$H$87</definedName>
    <definedName name="_xlnm.Print_Area" localSheetId="2">'Ground Floor'!$A$1:$H$475</definedName>
    <definedName name="_xlnm.Print_Titles" localSheetId="1">External!$1:$1</definedName>
    <definedName name="_xlnm.Print_Titles" localSheetId="3">'First Floor'!$1:$1</definedName>
    <definedName name="_xlnm.Print_Titles" localSheetId="0">'Front Pages'!$1:$1</definedName>
    <definedName name="_xlnm.Print_Titles" localSheetId="4">'General Items'!$1:$1</definedName>
    <definedName name="_xlnm.Print_Titles" localSheetId="2">'Ground Floor'!$1:$1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20" i="4" l="1"/>
  <c r="H511" i="4"/>
  <c r="H505" i="4"/>
  <c r="H17" i="10" l="1"/>
  <c r="H363" i="4"/>
  <c r="H279" i="4"/>
  <c r="H277" i="4"/>
  <c r="H185" i="4"/>
  <c r="H37" i="4"/>
  <c r="H89" i="10"/>
  <c r="H87" i="10"/>
  <c r="H83" i="10"/>
  <c r="H141" i="10"/>
  <c r="H131" i="10"/>
  <c r="H273" i="10"/>
  <c r="H255" i="10"/>
  <c r="H247" i="10"/>
  <c r="H245" i="10"/>
  <c r="H243" i="10"/>
  <c r="H241" i="10"/>
  <c r="H237" i="10"/>
  <c r="H235" i="10"/>
  <c r="H233" i="10"/>
  <c r="H231" i="10"/>
  <c r="H225" i="10"/>
  <c r="H219" i="10"/>
  <c r="H217" i="10"/>
  <c r="H215" i="10"/>
  <c r="H213" i="10"/>
  <c r="H209" i="10"/>
  <c r="H205" i="10"/>
  <c r="H201" i="10"/>
  <c r="H199" i="10"/>
  <c r="H193" i="10"/>
  <c r="H49" i="10"/>
  <c r="H47" i="10"/>
  <c r="H45" i="10"/>
  <c r="H43" i="10"/>
  <c r="H41" i="10"/>
  <c r="H11" i="10"/>
  <c r="H15" i="10" l="1"/>
  <c r="H7" i="3"/>
  <c r="H181" i="10"/>
  <c r="H179" i="10"/>
  <c r="H31" i="10"/>
  <c r="H29" i="10"/>
  <c r="H27" i="10"/>
  <c r="H121" i="10"/>
  <c r="H177" i="10"/>
  <c r="H123" i="10"/>
  <c r="H189" i="10"/>
  <c r="H61" i="10"/>
  <c r="H175" i="10"/>
  <c r="H173" i="10"/>
  <c r="H171" i="10"/>
  <c r="H159" i="10"/>
  <c r="H153" i="10"/>
  <c r="H145" i="10"/>
  <c r="H143" i="10"/>
  <c r="H137" i="10"/>
  <c r="H133" i="10"/>
  <c r="H101" i="10"/>
  <c r="H105" i="10"/>
  <c r="H97" i="10"/>
  <c r="H73" i="10"/>
  <c r="H59" i="10"/>
  <c r="H53" i="10"/>
  <c r="H37" i="10"/>
  <c r="H343" i="4"/>
  <c r="H53" i="4"/>
  <c r="H280" i="10" l="1"/>
  <c r="H5" i="17" s="1"/>
  <c r="H495" i="4"/>
  <c r="H503" i="4"/>
  <c r="H501" i="4"/>
  <c r="H499" i="4"/>
  <c r="H497" i="4"/>
  <c r="H493" i="4"/>
  <c r="H489" i="4"/>
  <c r="H487" i="4"/>
  <c r="H485" i="4"/>
  <c r="H483" i="4"/>
  <c r="H479" i="4"/>
  <c r="H477" i="4"/>
  <c r="H473" i="4"/>
  <c r="H471" i="4"/>
  <c r="H469" i="4"/>
  <c r="H467" i="4"/>
  <c r="H465" i="4"/>
  <c r="H463" i="4"/>
  <c r="H459" i="4"/>
  <c r="H457" i="4"/>
  <c r="H453" i="4"/>
  <c r="H451" i="4"/>
  <c r="H449" i="4"/>
  <c r="H447" i="4"/>
  <c r="H445" i="4"/>
  <c r="H443" i="4"/>
  <c r="H439" i="4"/>
  <c r="H437" i="4"/>
  <c r="H433" i="4"/>
  <c r="H431" i="4"/>
  <c r="H429" i="4"/>
  <c r="H427" i="4"/>
  <c r="H425" i="4"/>
  <c r="H423" i="4"/>
  <c r="H419" i="4"/>
  <c r="H417" i="4"/>
  <c r="H413" i="4"/>
  <c r="H411" i="4"/>
  <c r="H409" i="4"/>
  <c r="H407" i="4"/>
  <c r="H405" i="4"/>
  <c r="H403" i="4"/>
  <c r="H399" i="4"/>
  <c r="H397" i="4"/>
  <c r="H393" i="4"/>
  <c r="H391" i="4"/>
  <c r="H389" i="4"/>
  <c r="H387" i="4"/>
  <c r="H385" i="4"/>
  <c r="H383" i="4"/>
  <c r="H375" i="4"/>
  <c r="H373" i="4"/>
  <c r="H369" i="4"/>
  <c r="H367" i="4"/>
  <c r="H365" i="4"/>
  <c r="H361" i="4"/>
  <c r="H359" i="4"/>
  <c r="H351" i="4"/>
  <c r="H349" i="4"/>
  <c r="H337" i="4"/>
  <c r="H355" i="4"/>
  <c r="H353" i="4"/>
  <c r="H327" i="4"/>
  <c r="H345" i="4"/>
  <c r="H341" i="4"/>
  <c r="H339" i="4"/>
  <c r="H335" i="4"/>
  <c r="H331" i="4"/>
  <c r="H321" i="4"/>
  <c r="H319" i="4"/>
  <c r="H315" i="4"/>
  <c r="H313" i="4"/>
  <c r="H311" i="4"/>
  <c r="H309" i="4"/>
  <c r="H307" i="4"/>
  <c r="H305" i="4"/>
  <c r="H293" i="4"/>
  <c r="H291" i="4"/>
  <c r="H289" i="4"/>
  <c r="H283" i="4"/>
  <c r="H267" i="4" l="1"/>
  <c r="H265" i="4"/>
  <c r="H261" i="4"/>
  <c r="H259" i="4"/>
  <c r="H257" i="4"/>
  <c r="H253" i="4"/>
  <c r="H249" i="4"/>
  <c r="H243" i="4"/>
  <c r="H219" i="4"/>
  <c r="H229" i="4"/>
  <c r="H227" i="4"/>
  <c r="H209" i="4"/>
  <c r="H223" i="4"/>
  <c r="H221" i="4"/>
  <c r="H207" i="4"/>
  <c r="H211" i="4"/>
  <c r="H215" i="4"/>
  <c r="H193" i="4"/>
  <c r="H191" i="4"/>
  <c r="H189" i="4"/>
  <c r="H181" i="4"/>
  <c r="H171" i="4"/>
  <c r="H169" i="4"/>
  <c r="H167" i="4"/>
  <c r="H165" i="4"/>
  <c r="H159" i="4"/>
  <c r="H147" i="4"/>
  <c r="H145" i="4"/>
  <c r="H143" i="4"/>
  <c r="H139" i="4"/>
  <c r="H141" i="4"/>
  <c r="H133" i="4"/>
  <c r="H125" i="4"/>
  <c r="H123" i="4"/>
  <c r="H121" i="4"/>
  <c r="H119" i="4"/>
  <c r="H117" i="4"/>
  <c r="H111" i="4"/>
  <c r="H103" i="4"/>
  <c r="H101" i="4"/>
  <c r="H99" i="4"/>
  <c r="H97" i="4"/>
  <c r="H95" i="4"/>
  <c r="H91" i="4"/>
  <c r="H83" i="4"/>
  <c r="H81" i="4"/>
  <c r="H73" i="4"/>
  <c r="H67" i="4"/>
  <c r="H77" i="4"/>
  <c r="H75" i="4"/>
  <c r="H71" i="4"/>
  <c r="H69" i="4"/>
  <c r="H65" i="4"/>
  <c r="H63" i="4"/>
  <c r="H57" i="4"/>
  <c r="H51" i="4"/>
  <c r="H49" i="4"/>
  <c r="H45" i="4"/>
  <c r="H41" i="4"/>
  <c r="H43" i="4"/>
  <c r="H35" i="4"/>
  <c r="H7" i="4"/>
  <c r="H15" i="4"/>
  <c r="H25" i="4" l="1"/>
  <c r="H23" i="4"/>
  <c r="H19" i="4"/>
  <c r="H17" i="4"/>
  <c r="H13" i="4"/>
  <c r="H11" i="4"/>
  <c r="H9" i="4"/>
  <c r="H9" i="17" l="1"/>
  <c r="H245" i="3"/>
  <c r="H161" i="3"/>
  <c r="H163" i="3"/>
  <c r="H153" i="3"/>
  <c r="H141" i="3"/>
  <c r="H415" i="3" l="1"/>
  <c r="H413" i="3"/>
  <c r="H411" i="3"/>
  <c r="H407" i="3"/>
  <c r="H405" i="3"/>
  <c r="H403" i="3"/>
  <c r="H391" i="3"/>
  <c r="H385" i="3"/>
  <c r="H383" i="3"/>
  <c r="H381" i="3"/>
  <c r="H379" i="3"/>
  <c r="H377" i="3"/>
  <c r="H375" i="3"/>
  <c r="H365" i="3"/>
  <c r="H363" i="3"/>
  <c r="H361" i="3"/>
  <c r="H359" i="3"/>
  <c r="H357" i="3"/>
  <c r="H355" i="3"/>
  <c r="H353" i="3"/>
  <c r="H351" i="3"/>
  <c r="H349" i="3"/>
  <c r="H345" i="3"/>
  <c r="H333" i="3"/>
  <c r="H325" i="3"/>
  <c r="H323" i="3"/>
  <c r="H321" i="3"/>
  <c r="H319" i="3"/>
  <c r="H317" i="3"/>
  <c r="H315" i="3"/>
  <c r="H313" i="3"/>
  <c r="H311" i="3"/>
  <c r="H309" i="3"/>
  <c r="H305" i="3"/>
  <c r="H295" i="3"/>
  <c r="H291" i="3"/>
  <c r="H289" i="3"/>
  <c r="H287" i="3"/>
  <c r="H285" i="3"/>
  <c r="H277" i="3"/>
  <c r="H275" i="3"/>
  <c r="H273" i="3"/>
  <c r="H271" i="3"/>
  <c r="H259" i="3"/>
  <c r="H257" i="3"/>
  <c r="H255" i="3"/>
  <c r="H251" i="3"/>
  <c r="H249" i="3"/>
  <c r="H243" i="3"/>
  <c r="H241" i="3"/>
  <c r="H237" i="3"/>
  <c r="H233" i="3"/>
  <c r="H231" i="3"/>
  <c r="H229" i="3"/>
  <c r="H227" i="3"/>
  <c r="H225" i="3"/>
  <c r="H223" i="3"/>
  <c r="H215" i="3"/>
  <c r="H213" i="3"/>
  <c r="H211" i="3"/>
  <c r="H209" i="3"/>
  <c r="H201" i="3"/>
  <c r="H193" i="3"/>
  <c r="H191" i="3"/>
  <c r="H189" i="3"/>
  <c r="H187" i="3"/>
  <c r="H185" i="3"/>
  <c r="H179" i="3"/>
  <c r="H175" i="3"/>
  <c r="H169" i="3"/>
  <c r="H167" i="3"/>
  <c r="H165" i="3"/>
  <c r="H157" i="3"/>
  <c r="H149" i="3"/>
  <c r="H147" i="3"/>
  <c r="H145" i="3"/>
  <c r="H143" i="3"/>
  <c r="H123" i="3"/>
  <c r="H129" i="3"/>
  <c r="H133" i="3"/>
  <c r="H121" i="3"/>
  <c r="H119" i="3"/>
  <c r="H117" i="3"/>
  <c r="H131" i="3"/>
  <c r="H115" i="3"/>
  <c r="H111" i="3"/>
  <c r="H109" i="3"/>
  <c r="H105" i="3"/>
  <c r="H99" i="3"/>
  <c r="H97" i="3"/>
  <c r="H95" i="3"/>
  <c r="H93" i="3"/>
  <c r="H91" i="3"/>
  <c r="H87" i="3"/>
  <c r="H85" i="3"/>
  <c r="H79" i="3"/>
  <c r="H75" i="3"/>
  <c r="H71" i="3"/>
  <c r="H59" i="3"/>
  <c r="H63" i="3"/>
  <c r="H61" i="3"/>
  <c r="H55" i="3"/>
  <c r="H47" i="3"/>
  <c r="H53" i="3"/>
  <c r="H51" i="3"/>
  <c r="H49" i="3"/>
  <c r="H45" i="3"/>
  <c r="H43" i="3"/>
  <c r="H41" i="3"/>
  <c r="H35" i="3"/>
  <c r="H33" i="3"/>
  <c r="H29" i="3"/>
  <c r="H27" i="3"/>
  <c r="H9" i="3"/>
  <c r="H23" i="3"/>
  <c r="H21" i="3"/>
  <c r="H17" i="3"/>
  <c r="H423" i="3" l="1"/>
  <c r="H7" i="17" s="1"/>
  <c r="H7" i="7" l="1"/>
  <c r="H5" i="7" l="1"/>
  <c r="H63" i="7" s="1"/>
  <c r="H11" i="17" s="1"/>
  <c r="H13" i="17" s="1"/>
  <c r="H15" i="17" s="1"/>
  <c r="H17" i="17" s="1"/>
  <c r="H21" i="17" l="1"/>
  <c r="H20" i="17"/>
  <c r="H22" i="17"/>
  <c r="H25" i="17" l="1"/>
  <c r="H29" i="17" s="1"/>
  <c r="H31" i="17" s="1"/>
</calcChain>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<sst xmlns="http://schemas.openxmlformats.org/spreadsheetml/2006/main" count="2411" uniqueCount="839">
  <si>
    <t>Item No</t>
  </si>
  <si>
    <t>Lease clause</t>
  </si>
  <si>
    <t>Want of repair</t>
  </si>
  <si>
    <t>Remedy</t>
  </si>
  <si>
    <t>U</t>
  </si>
  <si>
    <t>Q</t>
  </si>
  <si>
    <t>R</t>
  </si>
  <si>
    <t>£</t>
  </si>
  <si>
    <t>Sum</t>
  </si>
  <si>
    <t>Total for Collection</t>
  </si>
  <si>
    <t>No</t>
  </si>
  <si>
    <t>m</t>
  </si>
  <si>
    <t>By tenant</t>
  </si>
  <si>
    <t xml:space="preserve">Electric convector heater requires cleaning. </t>
  </si>
  <si>
    <t xml:space="preserve">Clean down and redecorate walls with 2 coats of emulsion paint. </t>
  </si>
  <si>
    <t xml:space="preserve">Clean down and redecorate ceiling with 2 coats of emulsion to the approval of the Landlord. </t>
  </si>
  <si>
    <t xml:space="preserve">Clean down light fittings. </t>
  </si>
  <si>
    <t xml:space="preserve">Steel pressed radiator is due to be cleaned. </t>
  </si>
  <si>
    <t xml:space="preserve">Clean down radiator and ensure in working order. </t>
  </si>
  <si>
    <t>Clean down light fittings.</t>
  </si>
  <si>
    <t>Ground Floor</t>
  </si>
  <si>
    <t>Office 1</t>
  </si>
  <si>
    <t>General Items</t>
  </si>
  <si>
    <t>Mechanical and Electrical Installations</t>
  </si>
  <si>
    <t>Gas supply and gas installations to be inspected and tested in accordance with the Gas Safety (Installation and Use) Regulations 1998.</t>
  </si>
  <si>
    <t xml:space="preserve">Provide a copy of records relating to inspection, testing and maintenance of the gas installations. </t>
  </si>
  <si>
    <t>By Tenant</t>
  </si>
  <si>
    <t xml:space="preserve">If no records are available, or the records identify remedial or repair works are required, tenant to undertake these and provide updated test certificate on completion confirming installation is in full compliance with the regulations.  </t>
  </si>
  <si>
    <t>Electrical installation is required to be tested on a regular basis, in accordance with British Standard 7671: 2018.</t>
  </si>
  <si>
    <t xml:space="preserve">Provide certificate from NICEIC registered Electrician confirming test and making good of defects to fixed electrical installation has been carried out within last 5 years in accordance with the British Standard 7671:2018 Requirements for Electrical Installations (IET Regulations, 18th Edition), as amended.  </t>
  </si>
  <si>
    <t xml:space="preserve">Sum </t>
  </si>
  <si>
    <t xml:space="preserve">If no certificate exists, inspect and test entire electrical installation throughout and provide full report thereon of any remedial works. </t>
  </si>
  <si>
    <t xml:space="preserve">Undertake any remedial works included in the report and provide a Certificate of Compliance on completion. </t>
  </si>
  <si>
    <t xml:space="preserve">Emergency lighting installation is to be inspected and tested on a regular basis in accordance with BS 7671 (as amended). </t>
  </si>
  <si>
    <t xml:space="preserve">Provide a copy of the latest emergency lighting test certification. </t>
  </si>
  <si>
    <t xml:space="preserve">If no certificate exists, inspect and test entire emergency lighting installation throughout and provide full report thereon. </t>
  </si>
  <si>
    <t xml:space="preserve">Undertake any remedial works included in the report and provide Certificate of Compliance on completion. </t>
  </si>
  <si>
    <t>Cleaning</t>
  </si>
  <si>
    <t xml:space="preserve">Tenant is required to clean unit on expiry. </t>
  </si>
  <si>
    <t xml:space="preserve">Thoroughly clean down all surfaces internally and externally including all sanitary ware etc. leaving in a clean and tidy condition. Include for removing all litter, debris and stored articles throughout.
</t>
  </si>
  <si>
    <t>COLLECTION</t>
  </si>
  <si>
    <t>Sub Total of work items</t>
  </si>
  <si>
    <t>Contractor preliminaries</t>
  </si>
  <si>
    <t xml:space="preserve">Sub Total </t>
  </si>
  <si>
    <t>Professional fees for managing the works</t>
  </si>
  <si>
    <t>Allow 10%</t>
  </si>
  <si>
    <t>Mechanical and electrical engineer</t>
  </si>
  <si>
    <t>Principal Designer</t>
  </si>
  <si>
    <t>Allow 1%</t>
  </si>
  <si>
    <t>Professional Fees (exc. VAT) for preparation of Schedule of Dilapidations (Building Surveyor)</t>
  </si>
  <si>
    <t>Professional Fees (exc. VAT) for Negotiation of Settlement</t>
  </si>
  <si>
    <t xml:space="preserve">Allow 5% </t>
  </si>
  <si>
    <t>GRAND TOTAL EXCLUDING VAT</t>
  </si>
  <si>
    <t xml:space="preserve">Carpet is soiled and worn. </t>
  </si>
  <si>
    <t>Provide Landlord with copy of Asbestos Register in accordance with Regulation 4 of the Control of Asbestos Regulations 2012.</t>
  </si>
  <si>
    <t>Comply with the Control of Asbestos Regulations 2012.</t>
  </si>
  <si>
    <t xml:space="preserve">Allow for Refurbishment and Demolition survey in advance of the dilapidation works. </t>
  </si>
  <si>
    <t>Allow for removal of asbestos containing materials in advance of the dilapidations works.</t>
  </si>
  <si>
    <t>Fire alarm installations are to be inspected and tested on a regular basis.</t>
  </si>
  <si>
    <t xml:space="preserve">Provide a copy of the latest fire alarm test certification. </t>
  </si>
  <si>
    <t xml:space="preserve">If no certificate exists, inspect and test the fire alarm installation throughout and provide full report thereon. </t>
  </si>
  <si>
    <t>Requirement to have a Legionella Risk Assessment, in accordance with HSE Acop L8 "Legionnaires disease:  The control of legionella bacteria in water systems".</t>
  </si>
  <si>
    <t xml:space="preserve">Tenant to provide a copy of the Control of Legionella Risk Assessment for review.  </t>
  </si>
  <si>
    <t>Legionella</t>
  </si>
  <si>
    <t>Electrical Installations</t>
  </si>
  <si>
    <t>Emergency Lighting Installations</t>
  </si>
  <si>
    <t>Fire Safety Installations</t>
  </si>
  <si>
    <t xml:space="preserve">Door ironmongery to all doors needs services throughout the buildings. </t>
  </si>
  <si>
    <t xml:space="preserve">Remove blinds and fittings from windows and make good all damage. </t>
  </si>
  <si>
    <t>The Tenant is required to comply with the Control of Asbestos Regulations 2012 and maintain a current Asbestos Register.</t>
  </si>
  <si>
    <t xml:space="preserve">Sub total </t>
  </si>
  <si>
    <t xml:space="preserve">Allow 20% </t>
  </si>
  <si>
    <t>Allow 0%</t>
  </si>
  <si>
    <t xml:space="preserve">Check all ironmongery, tighter all door closers, hinges, locks, bolts, fixings and leave in good working order. </t>
  </si>
  <si>
    <t xml:space="preserve">Tenant has installed blinds to windows throughout premises and in poor condition throughout. </t>
  </si>
  <si>
    <t>Contract administration</t>
  </si>
  <si>
    <t>m²</t>
  </si>
  <si>
    <t xml:space="preserve">Lath and plaster ceiling is soiled and due for redecoration. </t>
  </si>
  <si>
    <t xml:space="preserve">Timber skirting is soiled and due for redecoration. </t>
  </si>
  <si>
    <t xml:space="preserve">Minton floor tiles are soiled and require cleaning. </t>
  </si>
  <si>
    <t>Timber framed windows are soiled due to be cleaned and the timber frames and cills are due to be redecorated.</t>
  </si>
  <si>
    <t xml:space="preserve">Clean down glazing and redecorate frames and cills with at least 2 coats of satinwood. </t>
  </si>
  <si>
    <t xml:space="preserve">Clean down and redecorate concrete walls with 2 coats of emulsion paint. </t>
  </si>
  <si>
    <t>Tenant left fixtures and fittings.</t>
  </si>
  <si>
    <t xml:space="preserve">Remove all fittings and materials. </t>
  </si>
  <si>
    <t xml:space="preserve">Clean down fanlights. </t>
  </si>
  <si>
    <t xml:space="preserve">Tenant has removed timber door to reception. </t>
  </si>
  <si>
    <t xml:space="preserve">Replace lamp with new to match existing. </t>
  </si>
  <si>
    <t xml:space="preserve">Decorative plaster cornicing is soiled and due to be redecorated. </t>
  </si>
  <si>
    <t xml:space="preserve">Clean down and redecorate decorative cornicing. </t>
  </si>
  <si>
    <t xml:space="preserve">Replace carpet with new. </t>
  </si>
  <si>
    <t xml:space="preserve">Redecorate stringers with proprietary paint to the approval of the Landlord. </t>
  </si>
  <si>
    <t xml:space="preserve">Timber doors are soiled and due to be redecorated. </t>
  </si>
  <si>
    <t xml:space="preserve">Clean down timber door and frame and redecorate with at least 2 coats of satinwood. </t>
  </si>
  <si>
    <t xml:space="preserve">Treat all water ingress and repair cracking and any damage present to walls. </t>
  </si>
  <si>
    <t xml:space="preserve">Remove entire light fitting and replace with new. </t>
  </si>
  <si>
    <t xml:space="preserve">Repair fitting holes, clean down and redecorate ceiling with 2 coats of emulsion to the approval of the Landlord. </t>
  </si>
  <si>
    <t>Fluorescent baton light fitting requires to be cleaned.</t>
  </si>
  <si>
    <t xml:space="preserve">Clean down light fitting. </t>
  </si>
  <si>
    <t xml:space="preserve">Fluorescent bar light fitting has been removed and replaced with 2 non functional spotlights. </t>
  </si>
  <si>
    <t xml:space="preserve">Remove 2 non functional spotlights and install new baton lighting. </t>
  </si>
  <si>
    <t>Plasterboard walls are soiled and due for redecoration.</t>
  </si>
  <si>
    <t xml:space="preserve">Clean down and redecorate plasterboard walls with 2 coats of emulsion paint. </t>
  </si>
  <si>
    <t>Decorative cornice is present to room and due to be redecorated.</t>
  </si>
  <si>
    <t xml:space="preserve">Clean down and redecorate decorative cornice. </t>
  </si>
  <si>
    <t xml:space="preserve">Carpet is slightly soiled and due to be cleaned. </t>
  </si>
  <si>
    <t xml:space="preserve">Deep clean carpet and make good. </t>
  </si>
  <si>
    <t xml:space="preserve">Tenant has infilled doorway to East elevation with foam blocks. </t>
  </si>
  <si>
    <t xml:space="preserve">Remove foam blocks and reinstate doorway. Make good to any damage and install new door to match existing. </t>
  </si>
  <si>
    <t xml:space="preserve">Tenant left fixtures and fittings mounted to walls. </t>
  </si>
  <si>
    <t xml:space="preserve">Remove all fixtures, fittings and materials and make good to any damage.  </t>
  </si>
  <si>
    <t xml:space="preserve">Cover to socket has been removed. </t>
  </si>
  <si>
    <t xml:space="preserve">Install new cover to socket and ensure the socket is in good working order. </t>
  </si>
  <si>
    <t xml:space="preserve">Clean down glazing and redecorate frames with at least 2 coats of satinwood. </t>
  </si>
  <si>
    <t xml:space="preserve">Clean down and redecorate framing with at least 2 coats of satinwood. </t>
  </si>
  <si>
    <t xml:space="preserve">Fluorescent baton light fitting is soiled and appears to be non functional. </t>
  </si>
  <si>
    <t xml:space="preserve">Replace baton light fitting with new. </t>
  </si>
  <si>
    <t xml:space="preserve">Remove all fixtures and fittings and make good to any damage.  </t>
  </si>
  <si>
    <t xml:space="preserve">Holes are present from previous fittings to timber panelling. </t>
  </si>
  <si>
    <t xml:space="preserve">Repair any damage to timber panelling and make good. </t>
  </si>
  <si>
    <t xml:space="preserve">Socket cover to East elevation is dated and heavily soiled. </t>
  </si>
  <si>
    <t xml:space="preserve">Replace socket cover and ensure in good working order. </t>
  </si>
  <si>
    <t>Remove and replace suspended ceiling tiles and grid with new.</t>
  </si>
  <si>
    <t xml:space="preserve">Textured coated walls are soiled, marked and the finish has cracked and peeled throughout. </t>
  </si>
  <si>
    <t xml:space="preserve">Repair all damage to walls and wall finish and redecorate with at least 2 coats of emulsion to the approval of the Landlord. </t>
  </si>
  <si>
    <t>Corridor to Archive</t>
  </si>
  <si>
    <t xml:space="preserve">Tenant has removed door leading to WC corridor. </t>
  </si>
  <si>
    <t xml:space="preserve">Reinstate previous timber door and make good to any damage. </t>
  </si>
  <si>
    <t xml:space="preserve">Clean down and paint door frames with at least 2 coats of satinwood. </t>
  </si>
  <si>
    <t>Door frames are heavily marked and soiled.</t>
  </si>
  <si>
    <t xml:space="preserve">Timber stable door to Archive is soiled and due to be redecorated. </t>
  </si>
  <si>
    <t xml:space="preserve">Clean down and varnish timber stable door and frame with at least 2 coats of varnish. </t>
  </si>
  <si>
    <t xml:space="preserve">Light fittings are due to be cleaned. </t>
  </si>
  <si>
    <t xml:space="preserve">Archive </t>
  </si>
  <si>
    <t>Fluorescent baton light fittings soiled, dated, mismatched and lamps are non functional.</t>
  </si>
  <si>
    <t xml:space="preserve">Remove and replace all light fittings with new. </t>
  </si>
  <si>
    <t xml:space="preserve">Carpet is soiled and worn. Tape repairs are present and the floor finish has been applied unevenly. </t>
  </si>
  <si>
    <t xml:space="preserve">Tenant installed shelving. </t>
  </si>
  <si>
    <t xml:space="preserve">Remove shelving and make good to any damage. </t>
  </si>
  <si>
    <t xml:space="preserve">Steel vault door to Store 5 is soiled, finish is deteriorating and is due to be redecorated. </t>
  </si>
  <si>
    <t xml:space="preserve">Clean down, treat and make good to any damage and redecorate steel vault door with at least 2 of proprietary paint. </t>
  </si>
  <si>
    <t>Store 2</t>
  </si>
  <si>
    <t xml:space="preserve">Suspended ceiling tiles are dated, soiled, marked, damaged, sagged and some tiles are missing. </t>
  </si>
  <si>
    <t xml:space="preserve">Suspended ceiling tiles are dated, soiled, marked, damaged and some tiles are missing. </t>
  </si>
  <si>
    <t xml:space="preserve">Fluorescent baton fitting is soiled and due to be cleaned. </t>
  </si>
  <si>
    <t>Clean down light fitting.</t>
  </si>
  <si>
    <t xml:space="preserve">Repair any damage to wall finish and redecorate with at least 2 coats of emulsion to the approval of the Landlord. </t>
  </si>
  <si>
    <t>Carpet is soiled, dated and worn.</t>
  </si>
  <si>
    <t xml:space="preserve">Timber door is marked and soiled. Damage is present to the door handle and the timber is deteriorating. Handle is not functional and has been poorly fitted. </t>
  </si>
  <si>
    <t xml:space="preserve">Remove entire door and replace with new. </t>
  </si>
  <si>
    <t xml:space="preserve">Treat steel to door, make good to any damage and redecorate door with at least 2 coats of proprietary paint. </t>
  </si>
  <si>
    <t xml:space="preserve">Steel vault door is heavily marked, stained and soiled. </t>
  </si>
  <si>
    <t xml:space="preserve">Door to Archive room has been removed by the tenant. </t>
  </si>
  <si>
    <t xml:space="preserve">Install new door and make good to any damage. </t>
  </si>
  <si>
    <t xml:space="preserve">Door frames are soiled and due to be redecorated. </t>
  </si>
  <si>
    <t xml:space="preserve">Clean down and redecorate door frames with at least 2 coats of satinwood. </t>
  </si>
  <si>
    <t xml:space="preserve">Tenant has installed shelving to room. </t>
  </si>
  <si>
    <t xml:space="preserve">Tenant has installed fittings and decals to door frame. </t>
  </si>
  <si>
    <t xml:space="preserve">Remove all fittings and decals and make good. </t>
  </si>
  <si>
    <t xml:space="preserve">Plaster ceiling is cracked and soiled due to be redecorated. </t>
  </si>
  <si>
    <t xml:space="preserve">Clean down, make good to any damage and redecorate ceiling with at least 2 coats of proprietary paint. </t>
  </si>
  <si>
    <t xml:space="preserve">Fluorescent baton light fitting lamp has been removed. </t>
  </si>
  <si>
    <t xml:space="preserve">Install new baton light fitting. </t>
  </si>
  <si>
    <t>Office 3</t>
  </si>
  <si>
    <t xml:space="preserve">Suspended ceiling tiles are dated, soiled, marked and some tiles are missing. </t>
  </si>
  <si>
    <t>Wallpaper walls are soiled, marked and due for redecoration.</t>
  </si>
  <si>
    <t xml:space="preserve">Clean down, remove and replace wallpaper with new. </t>
  </si>
  <si>
    <t>Carpet is soiled and worn.</t>
  </si>
  <si>
    <t xml:space="preserve">Timber door is soiled and due to be redecorated. </t>
  </si>
  <si>
    <t xml:space="preserve">Timber door is soiled and due to be redecorated and glazing us due to be cleaned. </t>
  </si>
  <si>
    <t xml:space="preserve">Clean down timber door, frame and glazing and redecorate with at least 2 coats of varnish. </t>
  </si>
  <si>
    <t xml:space="preserve">Remove timber partition and make good to any damage. </t>
  </si>
  <si>
    <t xml:space="preserve">Tenant has installed timber partition mounted to flooring (approximately 2m high). </t>
  </si>
  <si>
    <t>Tenant has installed countertop to trade area mounted to floor.</t>
  </si>
  <si>
    <t xml:space="preserve">Remove timber countertop and make good to any damage. </t>
  </si>
  <si>
    <t xml:space="preserve">Tenant has left fitting holes present to walls. </t>
  </si>
  <si>
    <t xml:space="preserve">Make good to any damage present to walls. </t>
  </si>
  <si>
    <t>Corridor to WC</t>
  </si>
  <si>
    <t xml:space="preserve">Plasterboard ceiling is soiled, marked and due for redecoration. </t>
  </si>
  <si>
    <t>Fluorescent light fittings require to be cleaned.</t>
  </si>
  <si>
    <t xml:space="preserve">Fluorescent baton light fitting is non functional. </t>
  </si>
  <si>
    <t xml:space="preserve">Replace fluorescent light fitting with new. </t>
  </si>
  <si>
    <t xml:space="preserve">Carpet is soiled, worn, has tape repair and unevenly fitted. </t>
  </si>
  <si>
    <t xml:space="preserve">Trunking to high level is broken and the cabling has come loose. </t>
  </si>
  <si>
    <t xml:space="preserve">Repair damage to trunking and refix cable. </t>
  </si>
  <si>
    <t>Light switch to West wall has sunken into wall and is heavily soiled.</t>
  </si>
  <si>
    <t xml:space="preserve">Remove light switch and replace with new. Ensure in good working order. </t>
  </si>
  <si>
    <t xml:space="preserve">Remove patchwork to wall and repair properly with plasterboard. Redecorate patch to match colour of walls. </t>
  </si>
  <si>
    <t xml:space="preserve">Repair damage to holes in the wall and make good. </t>
  </si>
  <si>
    <t xml:space="preserve">Make good to all impact damage and chipping to walls throughout corridor. </t>
  </si>
  <si>
    <t>WC</t>
  </si>
  <si>
    <t xml:space="preserve">Plasterboard ceiling is soiled and due for redecoration. </t>
  </si>
  <si>
    <t xml:space="preserve">Vinyl tile floor finish is soiled, stained, marked and missing throughout. </t>
  </si>
  <si>
    <t xml:space="preserve">Remove and replace all vinyl tiles with new. </t>
  </si>
  <si>
    <t xml:space="preserve">WC and WHB are soiled and due to be cleaned. </t>
  </si>
  <si>
    <t xml:space="preserve">Clean down WC and WHB and ensure in working order. </t>
  </si>
  <si>
    <t xml:space="preserve">Tenant has installed electric hand dryers. </t>
  </si>
  <si>
    <t xml:space="preserve">Clean down electric hand dryers and ensure in working order. </t>
  </si>
  <si>
    <t xml:space="preserve">Extract fan is soiled and due to be cleaned. </t>
  </si>
  <si>
    <t xml:space="preserve">Clean out extract fan and ensure in working order. </t>
  </si>
  <si>
    <t xml:space="preserve">Regrout tiled splashback. </t>
  </si>
  <si>
    <t xml:space="preserve">Tenant has left materials and possessions to loft above WC room. </t>
  </si>
  <si>
    <t xml:space="preserve">Remove all materials and possessions and make good. </t>
  </si>
  <si>
    <t>Store 6</t>
  </si>
  <si>
    <t>Workshop</t>
  </si>
  <si>
    <t>Plasterboard walls are soiled, marked, stained and due for redecoration.</t>
  </si>
  <si>
    <t xml:space="preserve">Remove and replace carpet tiles with new. </t>
  </si>
  <si>
    <t xml:space="preserve">Carpet tile flooring is soiled, stained, worn and due to be replaced. </t>
  </si>
  <si>
    <t xml:space="preserve">Clean down timber door and frame and redecorate with at least 2 coats of varnish. </t>
  </si>
  <si>
    <t>Timber internal windows are soiled due to be cleaned and the timber frames are due to be redecorated.</t>
  </si>
  <si>
    <t xml:space="preserve">Tenant has installed a timber raised floor on top of the existing floor covering to the North West corner (approx. 8m x 4m). </t>
  </si>
  <si>
    <t xml:space="preserve">Remove timber raised flooring and make good to any damages. </t>
  </si>
  <si>
    <t xml:space="preserve">Remove timber boarding from walls and make good to any damage. </t>
  </si>
  <si>
    <t>Kitchen</t>
  </si>
  <si>
    <t>Fluorescent baton light fittings require to be cleaned.</t>
  </si>
  <si>
    <t>Plasterboard walls are soiled, marked and due for redecoration.</t>
  </si>
  <si>
    <t xml:space="preserve">Carpet flooring is soiled and marked. </t>
  </si>
  <si>
    <t xml:space="preserve">Replace carpet tiles with new. </t>
  </si>
  <si>
    <t xml:space="preserve">Water ingress marks are present to surround of extract fan. </t>
  </si>
  <si>
    <t xml:space="preserve">Repair any damage to the walls, ensure there is no leakage and make good. </t>
  </si>
  <si>
    <t xml:space="preserve">Clean down extract fan and ensure in working order. </t>
  </si>
  <si>
    <t xml:space="preserve">Tenant has installed fittings and timber board to wall. </t>
  </si>
  <si>
    <t xml:space="preserve">Remove fittings and timber and make good to any damage. </t>
  </si>
  <si>
    <t xml:space="preserve">Tiled splashback is soiled and due to be cleaned (approx. 2m x 0.4m). </t>
  </si>
  <si>
    <t xml:space="preserve">Repair all damage to plasterboard and make good. </t>
  </si>
  <si>
    <t>Office 4</t>
  </si>
  <si>
    <t xml:space="preserve">Replace mismatched light fittings with new. </t>
  </si>
  <si>
    <t xml:space="preserve">Fluorescent baton light fittings are mismatched and require to be replaced. </t>
  </si>
  <si>
    <t xml:space="preserve">Carpet tile flooring is soiled, worn, marked and due to be replaced. </t>
  </si>
  <si>
    <t xml:space="preserve">Fittings and shelving is present mounted to walls. </t>
  </si>
  <si>
    <t xml:space="preserve">Cast iron rainwater downpipes require redecoration. </t>
  </si>
  <si>
    <t xml:space="preserve">Remove all vegetation and moss growth to elevation and make good. </t>
  </si>
  <si>
    <t xml:space="preserve">Windows to elevation are soiled and due to be cleaned. </t>
  </si>
  <si>
    <t xml:space="preserve">Clean down roller shutter doors and ensure in working order. </t>
  </si>
  <si>
    <t xml:space="preserve">Replace entrance mat with new. </t>
  </si>
  <si>
    <t xml:space="preserve">Vegetation and moss growth is present to elevation. </t>
  </si>
  <si>
    <t xml:space="preserve">Remove redundant cable. </t>
  </si>
  <si>
    <t xml:space="preserve">Cable to elevation is loose. </t>
  </si>
  <si>
    <t xml:space="preserve">Fix down cable to elevation. </t>
  </si>
  <si>
    <t>Power wash blockwork.</t>
  </si>
  <si>
    <t xml:space="preserve">No </t>
  </si>
  <si>
    <t>Roof</t>
  </si>
  <si>
    <t xml:space="preserve">Replace all corroded straps with new to match existing. </t>
  </si>
  <si>
    <t xml:space="preserve">Repair any damage to lead and flashings and make good. </t>
  </si>
  <si>
    <t>First Floor</t>
  </si>
  <si>
    <t xml:space="preserve">Ceiling is soiled and due for redecoration. </t>
  </si>
  <si>
    <t xml:space="preserve">Light fittings are soiled and due to be cleaned. </t>
  </si>
  <si>
    <t xml:space="preserve">Carpet is slightly soiled and due to be replaced. </t>
  </si>
  <si>
    <t xml:space="preserve">Remove carpet and replace with new. </t>
  </si>
  <si>
    <t>Office 10</t>
  </si>
  <si>
    <t>Office 5</t>
  </si>
  <si>
    <t>Stairwell</t>
  </si>
  <si>
    <t>Corridor</t>
  </si>
  <si>
    <t>Office 7</t>
  </si>
  <si>
    <t>Office 6</t>
  </si>
  <si>
    <t>Recording Room</t>
  </si>
  <si>
    <t>Open Plan Office</t>
  </si>
  <si>
    <t>Corridor to Offices</t>
  </si>
  <si>
    <t>Office 11</t>
  </si>
  <si>
    <t>Office 12</t>
  </si>
  <si>
    <t>Office 13</t>
  </si>
  <si>
    <t>Office 14</t>
  </si>
  <si>
    <t>Office 15</t>
  </si>
  <si>
    <t>Office 16</t>
  </si>
  <si>
    <t xml:space="preserve">Timber wall panelling to bay is soiled and due to be redecorated. </t>
  </si>
  <si>
    <t xml:space="preserve">Replace door handle with new and make good to any damage. </t>
  </si>
  <si>
    <t xml:space="preserve">Carpet is slightly soiled, worn and due to be replaced. </t>
  </si>
  <si>
    <t xml:space="preserve">Velux window is soiled and due to be cleaned. </t>
  </si>
  <si>
    <t xml:space="preserve">Clean down velux window. </t>
  </si>
  <si>
    <t xml:space="preserve">Clean down ceramic tiles and timber surround to fireplace and varnish timber to surround. </t>
  </si>
  <si>
    <t xml:space="preserve">Decorative fireplace is soiled and due to be cleaned and redecorated. </t>
  </si>
  <si>
    <t xml:space="preserve">Fluorescent baton light fittings require to be cleaned and one is non functional. </t>
  </si>
  <si>
    <t xml:space="preserve">Replace non functional lamp with new. </t>
  </si>
  <si>
    <t xml:space="preserve">Timber wall panelling to window is soiled and due to be redecorated. </t>
  </si>
  <si>
    <t>Tenant has installed shelving unit.</t>
  </si>
  <si>
    <t xml:space="preserve">Remove shelving unit and make good to any damage. </t>
  </si>
  <si>
    <t xml:space="preserve">Plaster ceiling is slightly soiled and due for redecoration. </t>
  </si>
  <si>
    <t xml:space="preserve">Light fitting is soiled and due to be cleaned. </t>
  </si>
  <si>
    <t xml:space="preserve">Tenant has installed fittings and fixtures. </t>
  </si>
  <si>
    <t xml:space="preserve">Remove fittings and fixtures and make good to any damage. </t>
  </si>
  <si>
    <t xml:space="preserve">Light fittings are soiled and due to be cleaned. One fitting is non functional.  </t>
  </si>
  <si>
    <t xml:space="preserve">Remove and replace lamp with new. </t>
  </si>
  <si>
    <t xml:space="preserve">Repair all damage to ceiling and make good. </t>
  </si>
  <si>
    <t xml:space="preserve">Light fitting requires cleaning. </t>
  </si>
  <si>
    <t xml:space="preserve">Vinyl flooring is soiled and due to be replaced. </t>
  </si>
  <si>
    <t xml:space="preserve">Remove and replace vinyl flooring with new. </t>
  </si>
  <si>
    <t xml:space="preserve">Carpet flooring is soiled, worn and due to be replaced. </t>
  </si>
  <si>
    <t xml:space="preserve">Remove and replace carpet flooring with new vinyl flooring. </t>
  </si>
  <si>
    <t xml:space="preserve">Vinyl flooring is soiled, worn, torn and due to be replaced. </t>
  </si>
  <si>
    <t>Tea prep units and cabinets are soiled, general overhaul required.</t>
  </si>
  <si>
    <t>Clean down all units and surfaces, tighten all door hinges, leave units in good working order.</t>
  </si>
  <si>
    <t xml:space="preserve">Repair all damage to cornice and make good. </t>
  </si>
  <si>
    <t xml:space="preserve">Fluorescent baton light fittings are soiled and due to be cleaned. </t>
  </si>
  <si>
    <t xml:space="preserve">Repair all damage to walls and make good. </t>
  </si>
  <si>
    <t xml:space="preserve">Carpet is soiled, worn and due to be replaced. </t>
  </si>
  <si>
    <t xml:space="preserve">Carpet is soiled, worn, torn and due to be replaced. </t>
  </si>
  <si>
    <t>Office 8</t>
  </si>
  <si>
    <t xml:space="preserve">Repair all damages to ceiling and make good. </t>
  </si>
  <si>
    <t xml:space="preserve">Repair cracking and make good to any damage. </t>
  </si>
  <si>
    <t xml:space="preserve">Clean down, make good and redecorate texture coated walls with 2 coats of emulsion paint. </t>
  </si>
  <si>
    <t xml:space="preserve">Tenant has altered the layout of the building by removing the partition between Office 6 and Store 7. </t>
  </si>
  <si>
    <t xml:space="preserve">Door to Store 7 from Office 6 has been removed and requires to be reinstated. </t>
  </si>
  <si>
    <t xml:space="preserve">Reinstate previous door and make good. </t>
  </si>
  <si>
    <t xml:space="preserve">Tenant has installed partitions to form smaller office inside Office 6 to Southwest corner. </t>
  </si>
  <si>
    <t xml:space="preserve">Remove all partitions and make good to any damage. </t>
  </si>
  <si>
    <t xml:space="preserve">Reinstate previous decorative cornicing to party walls between Office 6 and Store 7. </t>
  </si>
  <si>
    <t xml:space="preserve">Tenant has removed previous cornicing to party walls between Office 6 and Store 7. </t>
  </si>
  <si>
    <t xml:space="preserve">Tenant has removed previous skirting to party walls between Office 6 and Store 7. </t>
  </si>
  <si>
    <t>Reinstate previous partition between Office 6 and Store 7.</t>
  </si>
  <si>
    <t xml:space="preserve">Tenant has installed shelving mounted to wall. </t>
  </si>
  <si>
    <t xml:space="preserve">Tenant has installed desk mounted to floor and walls. </t>
  </si>
  <si>
    <t xml:space="preserve">Remove desk and make good to any damage. </t>
  </si>
  <si>
    <t xml:space="preserve">Decorative cornice is present to room and due to be redecorated. </t>
  </si>
  <si>
    <t xml:space="preserve">Tenant has installed shelving units to East wall. </t>
  </si>
  <si>
    <t xml:space="preserve">Remove shelving units and make good to any damage. </t>
  </si>
  <si>
    <t xml:space="preserve">Remove nosings and replace with new to match existing. </t>
  </si>
  <si>
    <t>Door to corridor is missing and has been removed by tenant</t>
  </si>
  <si>
    <t xml:space="preserve">Reinstate previous timber door and make good to any damages. </t>
  </si>
  <si>
    <t xml:space="preserve">Tenant has installed fittings and signage to walls. </t>
  </si>
  <si>
    <t xml:space="preserve">Remove fittings and signage and make good to any damage. </t>
  </si>
  <si>
    <t xml:space="preserve">Fluorescent baton light fittings are soiled, non functional and requires to be replaced. </t>
  </si>
  <si>
    <t xml:space="preserve">Clean down light fittings and replace lamps with new to match existing. </t>
  </si>
  <si>
    <t xml:space="preserve">Clean down and redecorate cornice. </t>
  </si>
  <si>
    <t xml:space="preserve">Tenant has installed fixtures and fittings mounted to walls. </t>
  </si>
  <si>
    <t xml:space="preserve">Remove fixtures and fittings and make good to any damage. </t>
  </si>
  <si>
    <t xml:space="preserve">Bulkhead light fittings are present to the ceiling. </t>
  </si>
  <si>
    <t xml:space="preserve">Clean down and relamp bulkhead lights. </t>
  </si>
  <si>
    <t>Fluorescent bulkhead light fittings require to be cleaned.</t>
  </si>
  <si>
    <t>Store 8</t>
  </si>
  <si>
    <t>ORIGINAL BUILIDNG</t>
  </si>
  <si>
    <t>Front Elevation (South facing Glasgow Road)</t>
  </si>
  <si>
    <t xml:space="preserve">Clean down all windows, frames and cills. </t>
  </si>
  <si>
    <t>Straps to zinc hips and ridging are corroded.</t>
  </si>
  <si>
    <t>Overhaul slaterwork,  replace all slipped and missing slates and replace with slates to match existing.</t>
  </si>
  <si>
    <t xml:space="preserve">All slopes </t>
  </si>
  <si>
    <t>Regular maintenance required to central valley gutter.</t>
  </si>
  <si>
    <t>Clean off all moss growth.</t>
  </si>
  <si>
    <t>Timber fascia is due for painting.</t>
  </si>
  <si>
    <t>Clean down and redecorate fascia with undercoat and two coats of gloss paint.</t>
  </si>
  <si>
    <r>
      <t>m</t>
    </r>
    <r>
      <rPr>
        <vertAlign val="superscript"/>
        <sz val="10"/>
        <rFont val="Arial"/>
        <family val="2"/>
      </rPr>
      <t>2</t>
    </r>
  </si>
  <si>
    <t>Clean off damp staining from sandstone, remove badly spalled stones and replace with new to match existing.</t>
  </si>
  <si>
    <r>
      <t>Cut out damaged sandstone and replace with new to match existing to two areas n. e. more than 0.5m</t>
    </r>
    <r>
      <rPr>
        <vertAlign val="superscript"/>
        <sz val="10"/>
        <rFont val="Arial"/>
        <family val="2"/>
      </rPr>
      <t>2</t>
    </r>
    <r>
      <rPr>
        <sz val="10"/>
        <rFont val="Arial"/>
        <family val="2"/>
      </rPr>
      <t>.</t>
    </r>
  </si>
  <si>
    <t>Steel bars to windows are corroded.</t>
  </si>
  <si>
    <t>Remove bars to largest windows, clean and redecorate with rust inhibitor, undercoat and 2 coats of gloss and refit on completion.</t>
  </si>
  <si>
    <t>uPVC windows are soiled.</t>
  </si>
  <si>
    <t>Clean all windows and frames.</t>
  </si>
  <si>
    <t>Bars to smallest ground floor window are corroded.</t>
  </si>
  <si>
    <t>Rake out pointing and repoint.</t>
  </si>
  <si>
    <t>Roof to Extension Building</t>
  </si>
  <si>
    <t xml:space="preserve">Sandstone is damp stained and damaged at the south west corner. </t>
  </si>
  <si>
    <t>Pointing is open to all windows.</t>
  </si>
  <si>
    <t>Metal grilles to upper floor windows need decorated.</t>
  </si>
  <si>
    <t>Take off metal security grilles and redecorate with undercoat and 1 coat of gloss.</t>
  </si>
  <si>
    <t>1 floodlight needs checked and overhauled.</t>
  </si>
  <si>
    <t>Staining to soil vent pipe</t>
  </si>
  <si>
    <t>Damp staining to base of blockwork wall.</t>
  </si>
  <si>
    <t>Check all downpipes, reseal joints.</t>
  </si>
  <si>
    <t>Cast iron downpipes need cleaned and redecorated.</t>
  </si>
  <si>
    <t>Pointing is open to ground floor windows.</t>
  </si>
  <si>
    <t>Pointing to sandstone is loose and missing in areas to lowest courses.</t>
  </si>
  <si>
    <t>Rake out all loose and missing pointing and repoint with lime mortar to match existing.</t>
  </si>
  <si>
    <r>
      <t>Cut out damaged sandstone and replace with new to match existing  areas approx. 1.5m</t>
    </r>
    <r>
      <rPr>
        <vertAlign val="superscript"/>
        <sz val="10"/>
        <rFont val="Arial"/>
        <family val="2"/>
      </rPr>
      <t>2</t>
    </r>
    <r>
      <rPr>
        <sz val="10"/>
        <rFont val="Arial"/>
        <family val="2"/>
      </rPr>
      <t>.</t>
    </r>
  </si>
  <si>
    <t>Southmost downpipe is not continued to drain.</t>
  </si>
  <si>
    <t>Extend downpipe to connect to below ground drain.</t>
  </si>
  <si>
    <t>General weed growth to tarmac and concrete surfaces.</t>
  </si>
  <si>
    <t>Clear all weed growth.</t>
  </si>
  <si>
    <t>Yard gullies are full of sludge.</t>
  </si>
  <si>
    <t>Clear out yard gullies.</t>
  </si>
  <si>
    <t>Tarmac surface is cracked and spalled.</t>
  </si>
  <si>
    <t>Scarify surface and cut out damaged tarmac and replace.</t>
  </si>
  <si>
    <t>Tarmac is cracked in areas.</t>
  </si>
  <si>
    <t>Rake out and infill cracks to Landlord's approval.</t>
  </si>
  <si>
    <t>Provide detail of drainage works to Landlord.</t>
  </si>
  <si>
    <t>Ditto to concrete surface at drainage track.</t>
  </si>
  <si>
    <t>Ditto, ditto.</t>
  </si>
  <si>
    <t>Open and missing pointing to wall.</t>
  </si>
  <si>
    <t>Steel gates to entrance need decorated.</t>
  </si>
  <si>
    <t>Clean down gates, treat with rust inhibitor and redecorate with undercoat and gloss.</t>
  </si>
  <si>
    <t>Open pointing to sandstone stringcourse at first floor level.</t>
  </si>
  <si>
    <t>Sandstone window hoods are soiled and open pointed.</t>
  </si>
  <si>
    <t>Clean off soiling from hoods and repoint with lime mortar to match existing.</t>
  </si>
  <si>
    <t>General areas of red sandstone walls on the front elevation are spalled.</t>
  </si>
  <si>
    <t>Cut out spalled stone and replace with new stone to match existing to Local Planning Authority and Landlord's approval.</t>
  </si>
  <si>
    <t>Remove poor repairs, make good/repair sandstone to Landlord and Local Authority approval.</t>
  </si>
  <si>
    <t xml:space="preserve">Remove all signage and make good damage. </t>
  </si>
  <si>
    <t>Clean down all downpipes, check joints and redecorate with undercoat and  1 coat of gloss.</t>
  </si>
  <si>
    <t xml:space="preserve">Hopper head to eastmost rainwater downpipe is cracked and is broken. </t>
  </si>
  <si>
    <t>Remove all vegetation growth.</t>
  </si>
  <si>
    <t xml:space="preserve">Crack to stone surround to east entrance door. </t>
  </si>
  <si>
    <t>Repair crack and make good all damage.</t>
  </si>
  <si>
    <t xml:space="preserve">Security grilles to the ground floor windows are affected by corrosion. </t>
  </si>
  <si>
    <t>Take off security grilles, treat corrosion, redecorate with undercoat and gloss. Refix grilles on completion.</t>
  </si>
  <si>
    <t>Schedule of Dilapidations</t>
  </si>
  <si>
    <t xml:space="preserve">of </t>
  </si>
  <si>
    <t xml:space="preserve">173/175 Glasgow Road, </t>
  </si>
  <si>
    <t>Clydebank,</t>
  </si>
  <si>
    <t xml:space="preserve">Glasgow. </t>
  </si>
  <si>
    <t>July 2025</t>
  </si>
  <si>
    <t xml:space="preserve">Damp staining and damage to stonework moulding where cast iron downpipe passes through. </t>
  </si>
  <si>
    <t>Make good dampness, repair stonework to Landlord's approval.</t>
  </si>
  <si>
    <t>General clauses and preliminaries</t>
  </si>
  <si>
    <t xml:space="preserve">Cast iron air ventilation grille to front elevation has fallen off. </t>
  </si>
  <si>
    <t xml:space="preserve">Clean and refit grille, redecorate. </t>
  </si>
  <si>
    <t>The Schedule identifies the Wants of Repair identified at the Premises at the time of the survey by the Landlord's Surveyor. The Landlord reserves the right to add to or amend the Schedule as further defects become apparent.</t>
  </si>
  <si>
    <t>The final selection of finishes including all colours, specifications etc. are subject to approval by the Landlord. The specification for all paint finishes including number of coats, type of finishes etc. must be appropriate for the works required, be in accordance with good practice and to the satisfaction of the Landlord.</t>
  </si>
  <si>
    <t>The Schedule identifies repairs required to make good the defects listed. Further works may be necessary to remedy the defect listed due to further defects being unforeseen, covered by Tenant fittings or otherwise concealed and these works are deemed to be included in the Schedule.</t>
  </si>
  <si>
    <t>The Tenant is responsible for ensuring that the specification for all works is appropriate and ensuring works carried out meet with the approval of the Landlord.</t>
  </si>
  <si>
    <t>We have not expressed an opinion on those parts of the Property that were covered, unexposed or were inaccessible at the time of our inspection. Should defects in these areas become apparent later then they are deemed to be included in the Schedule.</t>
  </si>
  <si>
    <t>1)</t>
  </si>
  <si>
    <t>2)</t>
  </si>
  <si>
    <t>3)</t>
  </si>
  <si>
    <t>4)</t>
  </si>
  <si>
    <t>5)</t>
  </si>
  <si>
    <t>6)</t>
  </si>
  <si>
    <t>7)</t>
  </si>
  <si>
    <t xml:space="preserve">Clean down and revarnish door to Landlord's approval. </t>
  </si>
  <si>
    <t xml:space="preserve">Clean down and redecorate external door with undercoat and two coats of gloss. </t>
  </si>
  <si>
    <t>Roller shutters to external doors are heavily soiled and need cleaned and serviced.</t>
  </si>
  <si>
    <t xml:space="preserve">Clean and repair terrazzo. </t>
  </si>
  <si>
    <t>Break out step and reform to Landlord's approval.</t>
  </si>
  <si>
    <t xml:space="preserve">Terrazzo finish to landing and steps at east entrance is soiled and cracked.  </t>
  </si>
  <si>
    <t>Cast iron railings are corroded and paint finish has deteriorated.</t>
  </si>
  <si>
    <t xml:space="preserve">Remove all corrosion, treat with rust inhibitor and redecorate with undercoat and 2 coats of gloss.  </t>
  </si>
  <si>
    <t>Cut out corroded sections and replace with new railings to match existing.</t>
  </si>
  <si>
    <t xml:space="preserve">Vegetation and moss growth to hardstanding. </t>
  </si>
  <si>
    <t>Remove all vegetation and moss growth.</t>
  </si>
  <si>
    <t xml:space="preserve">Replace damaged kerb stones.  </t>
  </si>
  <si>
    <t>Broken and spalled concrete/tarmac to entrance platt at east entrance.</t>
  </si>
  <si>
    <t>Break out concrete and tarmac and reform platt to Landlord's approval.</t>
  </si>
  <si>
    <t>Sandstone is spalled in two separate areas.</t>
  </si>
  <si>
    <t>Remove bars, make good stone and fit replacement bars.</t>
  </si>
  <si>
    <t>Tenants have installed containers.</t>
  </si>
  <si>
    <t xml:space="preserve">Redundant cable to elevation. </t>
  </si>
  <si>
    <t>Hack off poor repairs, prepare substrate and supply and fit new stonework to Local Authority and Landlord approval.</t>
  </si>
  <si>
    <t xml:space="preserve">Soft spots are present to general areas of hammer dressed red sandstone throughout elevation (5 Large areas are present at approx. 3m² and one area is approx. 16m²). </t>
  </si>
  <si>
    <t>Cut back to sound substrate and rebuild damaged section of mullion with new stonework  to Local Planning Authority and Landlord's approval.</t>
  </si>
  <si>
    <t>Clean off soiling to Landlord's approval.</t>
  </si>
  <si>
    <t>Deteriorated stonework at splayed window cill.</t>
  </si>
  <si>
    <t>Cut back to sound substrate and rebuild damaged cill with new stonework  to Local Planning Authority and Landlord's approval.</t>
  </si>
  <si>
    <t xml:space="preserve">Duct tape repair to cast iron downpipe connection. </t>
  </si>
  <si>
    <t xml:space="preserve">Remove tape, repair downpipe and leave in good, working order. </t>
  </si>
  <si>
    <t xml:space="preserve">Cast iron security bars have been fitted to ground floor windows embedded into stonework causing stonework to become cracked and damaged.  </t>
  </si>
  <si>
    <t>Replace security bars with alternative to Landlord's approval which can be removed for maintenance and do not cause damage to the stonework.</t>
  </si>
  <si>
    <t>Remove grilles, redecorate and refit on completion.</t>
  </si>
  <si>
    <t xml:space="preserve">Clean down light fittings and leave in good working order. </t>
  </si>
  <si>
    <t xml:space="preserve">Felt detail to bay roof is poorly formed. </t>
  </si>
  <si>
    <t xml:space="preserve">Blockwork to elevation is soiled and needs cleaned. </t>
  </si>
  <si>
    <t xml:space="preserve">Windows to elevation are soiled and need cleaned. </t>
  </si>
  <si>
    <t xml:space="preserve">Clean and service shutters and leave in good working order. </t>
  </si>
  <si>
    <t>Yard/car parking</t>
  </si>
  <si>
    <t>Boundaries</t>
  </si>
  <si>
    <t>Blockwork is soiled at the base</t>
  </si>
  <si>
    <t>Clean up blockwork.</t>
  </si>
  <si>
    <t xml:space="preserve">uPVC downpipes are soiled and need cleaned. </t>
  </si>
  <si>
    <t>Clean down uPVC downpipes, check joints and connections and leave in good working order.</t>
  </si>
  <si>
    <t>Clean off concrete cills.</t>
  </si>
  <si>
    <t>Fire exit door needs decorated.</t>
  </si>
  <si>
    <t>Clean down and redecorate door with 1 coat undercoat and 1 coat of gloss.</t>
  </si>
  <si>
    <t xml:space="preserve">Vegetation and moss growth to concrete hardstanding and pavement. </t>
  </si>
  <si>
    <t>Concrete cills are soiled.</t>
  </si>
  <si>
    <t>Concrete cills to ground floor windows are soiled.</t>
  </si>
  <si>
    <t>Metal profiled cills to the upper floor windows are soiled.</t>
  </si>
  <si>
    <t>Clean off metal profiled cills.</t>
  </si>
  <si>
    <t>Flat roof to east portico</t>
  </si>
  <si>
    <t>Flat roof to west portico</t>
  </si>
  <si>
    <t xml:space="preserve">Clean down all gutters to remove corrosion, repoint all joints and redecorate on completion with rust inhibitor, undercoat and gloss paint. </t>
  </si>
  <si>
    <t>Inspect flat roof, remove all debris, clear out rainwater outlets. Leave the roof in good, watertight condition.</t>
  </si>
  <si>
    <t>Clear out central valley gutter to remove all debris. Inspect lead lining for any cracks, failures and replace/repair damaged leadwork.</t>
  </si>
  <si>
    <t>Elevations</t>
  </si>
  <si>
    <t xml:space="preserve">Pointing to ALL smooth sandstone to front elevation has deteriorated and requires repointing </t>
  </si>
  <si>
    <t xml:space="preserve">Rake out loose and missing pointing and repoint with lime mortar to match existing to full length of stringcourse.  </t>
  </si>
  <si>
    <t xml:space="preserve">Rake out loose an missing pointing and repoint with lime mortar to match existing to full length of stringcourse.  </t>
  </si>
  <si>
    <t xml:space="preserve">Cast iron rainwater downpipes are affected by corrosion and require redecoration. </t>
  </si>
  <si>
    <t>Replace cast iron hopper head with new to match existing. Include for all decoration and all connections.</t>
  </si>
  <si>
    <t>Reroute condensate pipe to below ground drain.</t>
  </si>
  <si>
    <t xml:space="preserve">Concrete step to the west entrance is cracked and spalled.  </t>
  </si>
  <si>
    <t xml:space="preserve">Metal mesh has been installed at base of railings. </t>
  </si>
  <si>
    <t xml:space="preserve">Railings have corroded through in parts.  </t>
  </si>
  <si>
    <t xml:space="preserve">Dwarf wall to railings is affected by soiled and weed growth, is cracked and spalled. </t>
  </si>
  <si>
    <t xml:space="preserve">Remove weed growth, clean walling, repair damaged stonework, repoint all joints to Landlord's approval. </t>
  </si>
  <si>
    <t xml:space="preserve">Break out damaged/patched areas and replace with new hardstanding to match original. </t>
  </si>
  <si>
    <t xml:space="preserve">Concrete hardstanding at base of front elevation is cracked, patched and has mismatched repairs. </t>
  </si>
  <si>
    <t>Tenant has installed signage fixed to the elevation.</t>
  </si>
  <si>
    <t xml:space="preserve">Steel painted security grilles fitted to the upper floor windows need decorated. </t>
  </si>
  <si>
    <t xml:space="preserve">Security/floodlight fittings need cleaned and overhauled. </t>
  </si>
  <si>
    <t xml:space="preserve">Remove felt and fit new with compliant detail. </t>
  </si>
  <si>
    <t xml:space="preserve">Original building - east elevation </t>
  </si>
  <si>
    <t xml:space="preserve">Railings embedded in stone mullion and causing damage to the mullion. </t>
  </si>
  <si>
    <t xml:space="preserve">Replace damaged sections of railings which are corroded through. </t>
  </si>
  <si>
    <t>Cut out railings from mullion and reform detail not fixed into stonework.</t>
  </si>
  <si>
    <t xml:space="preserve">Railings have corroded through in parts. </t>
  </si>
  <si>
    <t xml:space="preserve">Hardstanding at the base of the elevation is patch repaired with mismatched materials. </t>
  </si>
  <si>
    <t xml:space="preserve">Repair all of hardstanding to elevation to Landlord's Approval. </t>
  </si>
  <si>
    <t xml:space="preserve">Vegetation and moss growth to base of elevation. </t>
  </si>
  <si>
    <t>Clean off manhole and gully covers, clear out gullies and ensure running free.</t>
  </si>
  <si>
    <t>Repair all damage to wall to Landlord's Approval.</t>
  </si>
  <si>
    <t xml:space="preserve">Render finish to brick pier is cracked and spalling. </t>
  </si>
  <si>
    <t xml:space="preserve">Hack off damaged render and rerender to match existing. </t>
  </si>
  <si>
    <t xml:space="preserve">Hardstanding/boundaries to original building at east elevation </t>
  </si>
  <si>
    <t xml:space="preserve">Hardstanding/boundaries to front elevation </t>
  </si>
  <si>
    <t xml:space="preserve">Tree to elevation is overgrown and is overhanging onto the roof of the building. </t>
  </si>
  <si>
    <t xml:space="preserve">Remove overgrown sections of tree and remove any debris off roof. </t>
  </si>
  <si>
    <t>Extension - east elevation</t>
  </si>
  <si>
    <t xml:space="preserve">Original building - west elevation </t>
  </si>
  <si>
    <t>Pointing to sandstone is loose and missing in areas. (Allow 50%)</t>
  </si>
  <si>
    <t>Original building - rear north facing elevation</t>
  </si>
  <si>
    <t>Extension - west elevation</t>
  </si>
  <si>
    <t>Clean down uPVC downpipe, check joints and connections and leave in good working order.</t>
  </si>
  <si>
    <t>Metal grilles to upper floor window need decorated.</t>
  </si>
  <si>
    <t>Bars to ground floor windows are corroded and have damaged stonework.</t>
  </si>
  <si>
    <t>Rake out loose and missing pointing and repoint to match existing. Full length and height.</t>
  </si>
  <si>
    <t xml:space="preserve">There are slipped and missing slates to roof slopes throughout </t>
  </si>
  <si>
    <t xml:space="preserve">Tenant has installed signage to elevation. </t>
  </si>
  <si>
    <t xml:space="preserve">Rake out loose and missing pointing and repoint with lime mortar to match existing.  </t>
  </si>
  <si>
    <t>Poor render repairs to sandstone panels below first floor windows.</t>
  </si>
  <si>
    <t>Clean all windows including framing.</t>
  </si>
  <si>
    <t>Condensate pipe is incorrectly fitted to rainwater downpipe.</t>
  </si>
  <si>
    <t>Timber door to west entrance needs redecorated, finish is badly worn in parts.</t>
  </si>
  <si>
    <t xml:space="preserve">Timber door to east entrance is due for redecoration. </t>
  </si>
  <si>
    <t xml:space="preserve">Entrance mat to east entrance door is soiled and worn. </t>
  </si>
  <si>
    <t xml:space="preserve">Hack off damaged stonework and reform stringcourse in new stone to Local Authority and Landlord approval.  </t>
  </si>
  <si>
    <t>Stonework to elevation is soiled in areas.</t>
  </si>
  <si>
    <t>Sandstone is damp stained and spalled along the elevation at low level to height of approximately 1.5m.</t>
  </si>
  <si>
    <t>Check floodlight, clean and overhaul and leave in good working order.</t>
  </si>
  <si>
    <t>Tarmac and concrete surface has been disturbed for previous drainage works.</t>
  </si>
  <si>
    <t>Tarmac at drainage track is in poor condition.</t>
  </si>
  <si>
    <t>Uplift tarmac at drainage track and reform in tarmac to match existing.</t>
  </si>
  <si>
    <t>Damaged and missing sections of rubble sandstone boundary wall.</t>
  </si>
  <si>
    <t>Rebuild missing sections in 3 places n.e. 0.5m2 with stone to match existing.</t>
  </si>
  <si>
    <t>Vegetation growth to base of wall full length.</t>
  </si>
  <si>
    <t>Remove container and make good all damage to surface of car park.</t>
  </si>
  <si>
    <t xml:space="preserve">Replace mismatched lamps with new to match existing. </t>
  </si>
  <si>
    <t xml:space="preserve">Light fitting to lobby  has been removed and loose cables are present. </t>
  </si>
  <si>
    <t>Dampness to walls at west elevation below window</t>
  </si>
  <si>
    <t xml:space="preserve">Hack off affected plaster and timbers, treat dampness  and replace all finishes.  </t>
  </si>
  <si>
    <t xml:space="preserve">Install replacement light fitting to match original and make good any damage to ceiling. </t>
  </si>
  <si>
    <t>Walls are soiled, marked and due for redecoration.</t>
  </si>
  <si>
    <t>Check lead and flashings to decorative stonework.</t>
  </si>
  <si>
    <t>Prepare boarding and redecorate with 2 coats of satinwood.</t>
  </si>
  <si>
    <t xml:space="preserve">Clean down and redecorate skirting with  2 coats of satinwood. </t>
  </si>
  <si>
    <t xml:space="preserve">Clean down tiles to flooring and make good any damage. </t>
  </si>
  <si>
    <t>Concrete flooring to vestibule is soiled.</t>
  </si>
  <si>
    <t xml:space="preserve">Clean floor. </t>
  </si>
  <si>
    <t>Timber window board and moulded surrounds to window are due to be redecorated.</t>
  </si>
  <si>
    <t xml:space="preserve">Redecorate with  2 coats of satinwood. </t>
  </si>
  <si>
    <t xml:space="preserve">Fanlights to doors are soiled and need cleaned. </t>
  </si>
  <si>
    <t>Reinstate door to match original and decorate surround to match.</t>
  </si>
  <si>
    <t>Clean down radiator.</t>
  </si>
  <si>
    <t>Tenant has fitted shelf for visitor book and installed door entry.</t>
  </si>
  <si>
    <t>Clean down and redecorate with at least 2 coats of emulsion paint to the approval of the Landlord. Allow for making good any tears, damage to woodchip.</t>
  </si>
  <si>
    <t>Woodchip paper to walls is for redecoration.</t>
  </si>
  <si>
    <t xml:space="preserve">Woodchip paper to ceiling is soiled and due to be redecorated. </t>
  </si>
  <si>
    <t xml:space="preserve">Decorative balusters and handrail to stairwell are due to be redecorated. </t>
  </si>
  <si>
    <t xml:space="preserve">Redecorate handrail and balusters with 2 coats of satinwood to the approval of the Landlord. </t>
  </si>
  <si>
    <t>Clean down electric convector heater.</t>
  </si>
  <si>
    <t>Timber panelled doors including decorative surrounds are due for decoration.</t>
  </si>
  <si>
    <t xml:space="preserve">Decorative timber skirting is soiled and due for redecoration. </t>
  </si>
  <si>
    <t>Vestibule</t>
  </si>
  <si>
    <t>Entrance hallway</t>
  </si>
  <si>
    <t xml:space="preserve">Stringers and exposed treads to stairwell are due to be redecorated. </t>
  </si>
  <si>
    <t xml:space="preserve">Remove all fittings and make good damage. </t>
  </si>
  <si>
    <t>Clean down all downpipes to remove corrosion, check and repoint all joints and redecorate with rust inhibitor, undercoat and 1 coat of gloss.</t>
  </si>
  <si>
    <t>Store is full of cabling.</t>
  </si>
  <si>
    <t>Remove cabling</t>
  </si>
  <si>
    <t>Lamp holder light fitting is broken.</t>
  </si>
  <si>
    <t>Store 1 (Below stair cupboard)</t>
  </si>
  <si>
    <t xml:space="preserve">Clean down walls and redecorate with  2 coats of emulsion. </t>
  </si>
  <si>
    <t>Plaster walls are soiled, stained, and cracking. Evidence of water ingress.</t>
  </si>
  <si>
    <t xml:space="preserve">Clean down glazing and redecorate frames and cills with 2 coats of satinwood. </t>
  </si>
  <si>
    <t xml:space="preserve">Lath and plaster ceiling is slightly soiled and due for redecoration. Holes from previous fixings. </t>
  </si>
  <si>
    <t>Decorative cornice is due to be redecorated.</t>
  </si>
  <si>
    <t xml:space="preserve">Timber panelled doors are soiled and due to be redecorated. </t>
  </si>
  <si>
    <t>Timber framed window is soiled and the timber frame is due to be redecorated.</t>
  </si>
  <si>
    <t xml:space="preserve">Timber framing to original North elevation is due to be redecorated. </t>
  </si>
  <si>
    <t>Office 2 (full of fittings at the time of inspection)</t>
  </si>
  <si>
    <t xml:space="preserve">Upvc windows are soiled and timber surrounds need decorated. </t>
  </si>
  <si>
    <t xml:space="preserve">uPVC shutters to ground floor windows need cleaned and serviced. </t>
  </si>
  <si>
    <t>Clean down windows and redecorate surrounds.</t>
  </si>
  <si>
    <t xml:space="preserve">Clean down and redecorate with at least 2 coats of satinwood. </t>
  </si>
  <si>
    <t>Timber panelling and surrounds to window walls require redecoration.</t>
  </si>
  <si>
    <t xml:space="preserve">uPVC downpipe is soiled and requires cleaned. </t>
  </si>
  <si>
    <t xml:space="preserve">Steel pressed radiator needs cleaned. </t>
  </si>
  <si>
    <t>Windows are soiled due to be cleaned and the timber frames and cills are due to be redecorated.</t>
  </si>
  <si>
    <t xml:space="preserve">Woodchip to walls is soiled, marked and the finish has cracked and peeled throughout. </t>
  </si>
  <si>
    <t>Wall finishes are marked and damaged.</t>
  </si>
  <si>
    <t>Store 3 (Former safe)</t>
  </si>
  <si>
    <t>Wall tiling is soiled, marked, chipped and due to be cleaned.</t>
  </si>
  <si>
    <t>Clean down wall tiling and make good any damage.</t>
  </si>
  <si>
    <t>Clean floor and good all damage.</t>
  </si>
  <si>
    <t xml:space="preserve">Ceiling tiles are dated, soiled, marked, damaged, sagged and some tiles are missing. </t>
  </si>
  <si>
    <t xml:space="preserve">Walls are soiled, marked and the finish has cracked and peeled throughout. </t>
  </si>
  <si>
    <t>Store 5 (Strongroom)</t>
  </si>
  <si>
    <t xml:space="preserve">No access </t>
  </si>
  <si>
    <t>Walls are soiled, marked, have impact damage and due for redecoration.</t>
  </si>
  <si>
    <t xml:space="preserve">Plasterboard patch repair to South wall which has been poorly fitted and is mismatched in colour. </t>
  </si>
  <si>
    <t>Pointing to smooth and hammer dressed sandstone to all of the elevation has deteriorated and requires repointing.</t>
  </si>
  <si>
    <t xml:space="preserve">Timber door to Store 6 is affected by impact damage. </t>
  </si>
  <si>
    <t xml:space="preserve">Replace door to match existing. </t>
  </si>
  <si>
    <t>Door frames are heavily marked and soiled and are due for decoration.</t>
  </si>
  <si>
    <t xml:space="preserve">Non compliant lamp holder to WC and IVS compartment. </t>
  </si>
  <si>
    <t>Replace with compliant light fittings.</t>
  </si>
  <si>
    <t>Walls are due for redecoration.</t>
  </si>
  <si>
    <t>Tiled splashback to walls are soiled and grout has deteriorated.</t>
  </si>
  <si>
    <t>Extension - rear elevation</t>
  </si>
  <si>
    <t xml:space="preserve">Loose cabling to North wall. </t>
  </si>
  <si>
    <t xml:space="preserve">Trace cable and remove if redundant or rewire in conduit if live. </t>
  </si>
  <si>
    <t>No access</t>
  </si>
  <si>
    <t xml:space="preserve">Damage to ceiling from previous fixings. </t>
  </si>
  <si>
    <t>Fluorescent baton light fittings are mismatched, one has a cover missing, some are non functional.</t>
  </si>
  <si>
    <t xml:space="preserve">Replace failed light fittings with new to match existing. </t>
  </si>
  <si>
    <t xml:space="preserve">Remove all fittings and materials. Include for fittings mounted to walls and making good. </t>
  </si>
  <si>
    <t xml:space="preserve">Tenant has installed timber boarding to walls. </t>
  </si>
  <si>
    <t>Windows are soiled and are due to be redecorated.</t>
  </si>
  <si>
    <t>Tea prep units are damaged.</t>
  </si>
  <si>
    <t>Replace units. Replumb sink.</t>
  </si>
  <si>
    <t xml:space="preserve">Plasterboard wall to underside of kitchen counter has been damaged by pipework installations.  </t>
  </si>
  <si>
    <t xml:space="preserve">Damage around dart board. </t>
  </si>
  <si>
    <t xml:space="preserve">Repair damage to plasterboard wall. </t>
  </si>
  <si>
    <t xml:space="preserve">Loose cabling and missing socket cover to west wall. </t>
  </si>
  <si>
    <t>Refix cabling, replace all covers with new.</t>
  </si>
  <si>
    <t xml:space="preserve">Woodchip to ceiling is due for redecoration. </t>
  </si>
  <si>
    <t xml:space="preserve">Clean down and redecorate with 2 coats of emulsion. </t>
  </si>
  <si>
    <t xml:space="preserve">Glass/brass globe light fittings are soiled and due to be cleaned. </t>
  </si>
  <si>
    <t xml:space="preserve">Redecorate decorative cornice. </t>
  </si>
  <si>
    <t>Wallpaper finish to walls is soiled and due for redecoration.</t>
  </si>
  <si>
    <t xml:space="preserve">Strip paper, make good walls and redecorate with 3 coats of emulsion. </t>
  </si>
  <si>
    <t>Open pointing to sandstone stringcourse at mid and first floor level.</t>
  </si>
  <si>
    <t xml:space="preserve">Timber wall panelling to bay is  due to be redecorated. </t>
  </si>
  <si>
    <t xml:space="preserve">Carpet is worn. </t>
  </si>
  <si>
    <t xml:space="preserve">Steel pressed radiators, 1 new and 1 original are due to be cleaned. </t>
  </si>
  <si>
    <t>Clean down radiators.</t>
  </si>
  <si>
    <t>Tenants have installed blinds and curtains at windows.</t>
  </si>
  <si>
    <t xml:space="preserve">Tenants have formed cupboard to install equipment. </t>
  </si>
  <si>
    <t xml:space="preserve">Decorative chandelier light fitting is non functional and requires to be replaced. </t>
  </si>
  <si>
    <t>Remove partitioning and make good.</t>
  </si>
  <si>
    <t xml:space="preserve">Evidence of previous water ingress at east wall. </t>
  </si>
  <si>
    <t xml:space="preserve">Make good wall/ceiling plaster finishes where previously damaged from water ingress. </t>
  </si>
  <si>
    <t>Plasterboard walls with woodchip finish are soiled and due for redecoration.</t>
  </si>
  <si>
    <t xml:space="preserve">Clean down and redecorate  walls with 2 coats of emulsion paint. </t>
  </si>
  <si>
    <t xml:space="preserve">Ditto to walls to press with plaster finish.. </t>
  </si>
  <si>
    <t>Ditto.</t>
  </si>
  <si>
    <t>Door handle to door is missing to press.</t>
  </si>
  <si>
    <t>Ditto to plain plaster ceiling around velux.</t>
  </si>
  <si>
    <t xml:space="preserve">Clean down radiator. </t>
  </si>
  <si>
    <t>Decorative cornice is  due to be redecorated.</t>
  </si>
  <si>
    <t>Woodchip to walls are soiled and due for redecoration.</t>
  </si>
  <si>
    <t>Windows are soiled due to be cleaned and the timber surrounds redecorated.</t>
  </si>
  <si>
    <t xml:space="preserve">Redecorate all woodwork with 2 coats of satinwood to the approval of the Landlord. </t>
  </si>
  <si>
    <t>Stair handrail, balusters, stringers, treads are due for redecoration.</t>
  </si>
  <si>
    <t xml:space="preserve">Artex ceiling is  due for redecoration. </t>
  </si>
  <si>
    <t xml:space="preserve">Woodchip to walls are due for decoration.  </t>
  </si>
  <si>
    <t>Repair all damage to walls and redecorate with 2 coats of emulsion.</t>
  </si>
  <si>
    <t>Broken mirror at south end.</t>
  </si>
  <si>
    <t>Male Toilet</t>
  </si>
  <si>
    <t xml:space="preserve">Plaster ceiling is soiled, marked and due for redecoration. </t>
  </si>
  <si>
    <t>Ceiling damaged from previous water ingress.</t>
  </si>
  <si>
    <t>Make good damage to ceiling from water ingress.</t>
  </si>
  <si>
    <t>Non compliant light fitting.</t>
  </si>
  <si>
    <t>Replace fitting with compliant fitting suitable for use in a toilet.</t>
  </si>
  <si>
    <t>Plastered walls are soiled and due for redecoration.</t>
  </si>
  <si>
    <t>Window is soiled due to be cleaned and the timber frames and cills are due to be redecorated.</t>
  </si>
  <si>
    <t>Female Toilet</t>
  </si>
  <si>
    <t xml:space="preserve">Water heater supplying hot water. </t>
  </si>
  <si>
    <t>WC are soiled and due to be cleaned. Wash hand basin is cracked.</t>
  </si>
  <si>
    <t xml:space="preserve">Clean down WC and replace wash hand basin including taps, plug, chain and waste. </t>
  </si>
  <si>
    <t>Window is soiled and the timber frame and cill are due to be redecorated.</t>
  </si>
  <si>
    <t>Cracking to walls and ceilings all round.</t>
  </si>
  <si>
    <t>Make good damage to plasterwork/brickwork.</t>
  </si>
  <si>
    <t>Window is soiled and the timber frames and cills are due to be redecorated.</t>
  </si>
  <si>
    <t>Decorative cornice in ceiling is due for decoration.</t>
  </si>
  <si>
    <t>Clean down and redecorate plaster cornice with 2 coats of emulsion.</t>
  </si>
  <si>
    <t>Clean down and redecorate plaster ceiling with 2 coats of emulsion.</t>
  </si>
  <si>
    <t xml:space="preserve">Clean down glazing and redecorate frame and cill with 2 coats of satinwood. </t>
  </si>
  <si>
    <t>Redundant hot water heater to one wall.</t>
  </si>
  <si>
    <t xml:space="preserve">Remove water heater and make good all damage.  </t>
  </si>
  <si>
    <t xml:space="preserve">Plaster ceiling including bulkhead is soiled and due to be redecorated. </t>
  </si>
  <si>
    <t xml:space="preserve">Take down damaged areas and replace with new plasterboard, skim coat ready for decoration. </t>
  </si>
  <si>
    <t xml:space="preserve">Prepare new plasterboard and decorate with 3 coats of emulsion. </t>
  </si>
  <si>
    <t xml:space="preserve">Decorative cornice is due to be redecorated. </t>
  </si>
  <si>
    <t>Cracking, peeling and staining is present to cornice.</t>
  </si>
  <si>
    <t>Plaster cracking to ceiling.</t>
  </si>
  <si>
    <t>Woodchip to walls is due for redecoration.</t>
  </si>
  <si>
    <t xml:space="preserve">Cracking at junction of walls.  </t>
  </si>
  <si>
    <t xml:space="preserve">Door closer is broken. </t>
  </si>
  <si>
    <t xml:space="preserve">Replace closer to match existing. </t>
  </si>
  <si>
    <t xml:space="preserve">Fireplace is due to be redecorated. </t>
  </si>
  <si>
    <t>Windows are soiled and the timber frames and cills are due to be redecorated.</t>
  </si>
  <si>
    <t>Surface run cable passes through top sash of eastmost window.</t>
  </si>
  <si>
    <t>Remove cable and make good.</t>
  </si>
  <si>
    <t xml:space="preserve">Woodchip to ceiling is due for redecoration.  </t>
  </si>
  <si>
    <t>Cracking and water ingress marks are present to ceiling.</t>
  </si>
  <si>
    <t>Cracking is present to cornicing.</t>
  </si>
  <si>
    <t xml:space="preserve">Woodchip finish to walls is due for redecoration. </t>
  </si>
  <si>
    <t xml:space="preserve">Cracking is present to wall finish. </t>
  </si>
  <si>
    <t xml:space="preserve">Clean down, make good and redecorate walls with 2 coats of emulsion paint. </t>
  </si>
  <si>
    <t>Repair all cracking and damage to walls.</t>
  </si>
  <si>
    <t>Windows are due to be cleaned and the timber frames and cills are due to be redecorated.</t>
  </si>
  <si>
    <t xml:space="preserve">Tenant has altered lighting layout.  </t>
  </si>
  <si>
    <t xml:space="preserve">Remove tenant added lighting and replace lighting to new Store 7 and Office 6. </t>
  </si>
  <si>
    <t>Ceiling is slightly soiled and due for redecoration.</t>
  </si>
  <si>
    <t>Light fitting to lobby is non working.</t>
  </si>
  <si>
    <t>Walls are soiled and due for redecoration.</t>
  </si>
  <si>
    <t xml:space="preserve">Extract fan to ceiling is not working. </t>
  </si>
  <si>
    <t xml:space="preserve">Timber door to recording room is due to be redecorated. </t>
  </si>
  <si>
    <t>Woodchip to ceiling is slightly soiled and due for redecoration.</t>
  </si>
  <si>
    <t>Timber handrails and post to small stair are due for redecoration.</t>
  </si>
  <si>
    <t xml:space="preserve">Redecorate handrail with 2 coats satinwood. </t>
  </si>
  <si>
    <t xml:space="preserve">Damage from roof leak at south west corner. </t>
  </si>
  <si>
    <t>Confirm leak repaired.</t>
  </si>
  <si>
    <t xml:space="preserve">Plain cornice due to be redecorated. </t>
  </si>
  <si>
    <t xml:space="preserve">Plain band cornice is present to room and due to be redecorated. </t>
  </si>
  <si>
    <t>Window is are soiled  and the timber frames and cills are due to be redecorated.</t>
  </si>
  <si>
    <t xml:space="preserve">Access hatch and frame to ceiling are due for redecoration. </t>
  </si>
  <si>
    <t xml:space="preserve">Tenant has installed chequer plate metal strip fittings and installed power sockets. </t>
  </si>
  <si>
    <t xml:space="preserve">Remove metal fittings and power sockets to  floor, make good all damage. </t>
  </si>
  <si>
    <t xml:space="preserve">Sapele faced doors need cleaned down and timber painted surrounds redecorated. </t>
  </si>
  <si>
    <t xml:space="preserve">Clean down timber doors and redecorate surrounds with 2 coats satinwood. </t>
  </si>
  <si>
    <t>Windows are due to be cleaned and the timber frames and cills redecorated.</t>
  </si>
  <si>
    <t>Note there was no access to Offices 12-16 during the survey but these have been assumed to be as Office 11.</t>
  </si>
  <si>
    <t>Rear fire exit stairwell</t>
  </si>
  <si>
    <t xml:space="preserve">Cornice to ceiling at first floor level. </t>
  </si>
  <si>
    <t xml:space="preserve">Walls are soiled, marked and due for redecoration. </t>
  </si>
  <si>
    <t xml:space="preserve">Remove finish and redecorate walls with 3 coats of emulsion paint. </t>
  </si>
  <si>
    <t xml:space="preserve">Damage to walls and signs of previous water ingress at ground floor level. </t>
  </si>
  <si>
    <t xml:space="preserve">Stringers to stairwell are due to be redecorated. </t>
  </si>
  <si>
    <t>Redecorate railings with 1 coat of undercoat and 1 coat of gloss. Clean down vinyl handrail.</t>
  </si>
  <si>
    <t>Nosing to stairs are damaged, worn.</t>
  </si>
  <si>
    <t>Window at first floor landing level is due to be cleaned and the timber frames and cill redecorated.</t>
  </si>
  <si>
    <t>Fire exit doors are due for decoration.</t>
  </si>
  <si>
    <t>Clean down and redecorate timber panelling with 2 coats of satinwood.</t>
  </si>
  <si>
    <t xml:space="preserve">Clean down glazing and redecorate frames and cills with  2 coats of satinwood. </t>
  </si>
  <si>
    <t xml:space="preserve">Clean down timber door and frame and redecorate with  2 coats of satinwood. </t>
  </si>
  <si>
    <t xml:space="preserve">Clean down and redecorate timber panelling with 2 coats of emulsion. </t>
  </si>
  <si>
    <t xml:space="preserve">Clean down timber door and frame and redecorate with 2 coats of satinwood. </t>
  </si>
  <si>
    <t xml:space="preserve">Clean down and redecorate plaster ceiling with 2 coats of emulsion. </t>
  </si>
  <si>
    <t xml:space="preserve">Clean down and redecorate artex ceiling with  2 coats of emulsion. </t>
  </si>
  <si>
    <t xml:space="preserve">Clean down timber door and frame and redecorate with 2 coats of satinwood (sufficient to cover blue paint finish). </t>
  </si>
  <si>
    <t>Clean down and redecorate fireplace with 2 coats of satinwood.</t>
  </si>
  <si>
    <t xml:space="preserve">Clean down and redecorate texture coated ceiling with  2 coats of emulsion. </t>
  </si>
  <si>
    <t xml:space="preserve">Clean down and redecorate timber panelling with 2 coats of satinwood. </t>
  </si>
  <si>
    <t xml:space="preserve">Reinstate previous decorative skirting to party walls between Office 6 and Store 7 and redecorate with  2 coats of satinwood.  </t>
  </si>
  <si>
    <t xml:space="preserve">Clean down and redecorate texture coated ceiling with 2 coats of emulsion. </t>
  </si>
  <si>
    <t>Clean down and redecorate hatch and frame with 2 coats of satinwood.</t>
  </si>
  <si>
    <t>Three</t>
  </si>
  <si>
    <t>Three, Four</t>
  </si>
  <si>
    <t>Seven</t>
  </si>
  <si>
    <t>Five</t>
  </si>
  <si>
    <t>Four</t>
  </si>
  <si>
    <t>Three, Seven</t>
  </si>
  <si>
    <t xml:space="preserve">Remove all fittings and shelving and make good any damage. </t>
  </si>
  <si>
    <t>Five, Four</t>
  </si>
  <si>
    <t>Four, Five</t>
  </si>
  <si>
    <t>DRAFT</t>
  </si>
  <si>
    <t xml:space="preserve">Clean down extract fan and repair and ensure in working order. </t>
  </si>
  <si>
    <t xml:space="preserve">For the purposes of this Schedule, the front elevation of the Premises, facing Glasgow Road, is assumed to face south. </t>
  </si>
  <si>
    <t>8)</t>
  </si>
  <si>
    <t xml:space="preserve">We were not able to access some of the office and other areas during our inspection. These are listed on the report. </t>
  </si>
  <si>
    <t>Remove fittings and make good any damage.</t>
  </si>
  <si>
    <t xml:space="preserve">Asbestos </t>
  </si>
  <si>
    <t>Three, Eight</t>
  </si>
  <si>
    <t>Three, Five</t>
  </si>
  <si>
    <t>G81 1LQ</t>
  </si>
  <si>
    <t xml:space="preserve">The Premises comprise the subjects known as 173 / 175 Glasgow Road, Clydebank, Glasgow, G81 1LQ. </t>
  </si>
  <si>
    <t>Original cast iron gutters half round are corroding and open jointed on all elevations.</t>
  </si>
  <si>
    <t>Original cast iron ogee gutters round are corroding and open jointed on all elevations.</t>
  </si>
  <si>
    <t>Moss growth to concrete tiles to roof slopes.</t>
  </si>
  <si>
    <t>Clean out half round gutters all round and repoint any open joints.</t>
  </si>
  <si>
    <t>Vegetation and general soiling to the elevation.</t>
  </si>
  <si>
    <t>Remove all vegetation and heavy soiling.</t>
  </si>
  <si>
    <t>Open pointing to sandstone eaves blocking course at first floor level.</t>
  </si>
  <si>
    <t xml:space="preserve">West elevation of West Portico </t>
  </si>
  <si>
    <t>Open pointing to sandstone parapet wall.</t>
  </si>
  <si>
    <t xml:space="preserve">Rake out loose an missing pointing and repoint with lime mortar to match existing.  </t>
  </si>
  <si>
    <t>Clean up stonework, remove poor render repairs, remove bars damaging stone, repair/replace stonework to Local Planning Authority and Landlord's approval.</t>
  </si>
  <si>
    <t xml:space="preserve">Pointing to 50% smooth sandstone has deteriorated and requires repointing. </t>
  </si>
  <si>
    <t xml:space="preserve">Remove metal mesh to railings and make good  any damage. </t>
  </si>
  <si>
    <t xml:space="preserve">Broken and spalled concrete kerb stones to entrance platt at west portico entrance. </t>
  </si>
  <si>
    <t>Half round uPVC gutters are soiled and need cleaned and repointed.</t>
  </si>
  <si>
    <t>Poor render repairs have been undertaken on the east elevation of the front portico.</t>
  </si>
  <si>
    <t>Repair all damage to soft spots with new stonework to match existing to Local Planning Authority and Landlord's approval.</t>
  </si>
  <si>
    <t xml:space="preserve">Deteriorated stringcourse to bay window above northmost window.  </t>
  </si>
  <si>
    <t>inc</t>
  </si>
  <si>
    <t xml:space="preserve">Cut out railings, repair stonework. </t>
  </si>
  <si>
    <t xml:space="preserve">Railings to boundary are corroded with parts corroded through. </t>
  </si>
  <si>
    <t xml:space="preserve">Manholes and gullies to the base of the elevation are heavily soiled. </t>
  </si>
  <si>
    <t>Stone dwarf wall to railings is cracked.</t>
  </si>
  <si>
    <t xml:space="preserve">Deteriorated stonework to bay window mullion. </t>
  </si>
  <si>
    <t>Check tarmac has not extended over dpc.</t>
  </si>
  <si>
    <t xml:space="preserve">Light fitting (original) is soiled and mismatched lamps. </t>
  </si>
  <si>
    <t xml:space="preserve">Clean down and redecorate skirting with 2 coats of satinwood. </t>
  </si>
  <si>
    <t>Terrazzo flooring is soiled.</t>
  </si>
  <si>
    <t xml:space="preserve">Clean down terrazzo flooring and make good. </t>
  </si>
  <si>
    <t xml:space="preserve">Clean down and redecorate skirting with at least 2 coats of satinwood. </t>
  </si>
  <si>
    <t xml:space="preserve">Holes have been formed for new services pipework but the wall finishes have not been made good. </t>
  </si>
  <si>
    <t xml:space="preserve">Timber double doors to electrical cupboard are soiled and due to be redecorated. </t>
  </si>
  <si>
    <t>Clean down tiled splashback.</t>
  </si>
  <si>
    <t xml:space="preserve">Tongue and groove timber boarding to walls and ceilings is due for redecoration. </t>
  </si>
  <si>
    <t xml:space="preserve">Ground Floor Landing </t>
  </si>
  <si>
    <t xml:space="preserve">Clean down door, frame and surround with 2 coats of satinwood. </t>
  </si>
  <si>
    <t xml:space="preserve">Solid floor is heavily soiled, marked and due to be cleaned. </t>
  </si>
  <si>
    <t>Trade Counter</t>
  </si>
  <si>
    <t xml:space="preserve">Make good damage to ceiling. </t>
  </si>
  <si>
    <t>Office 9 (Boardroom)</t>
  </si>
  <si>
    <t xml:space="preserve">Clean down all timber and redecorate with  2 coats of satinwood. </t>
  </si>
  <si>
    <t>Remove fitting and make good any damage.</t>
  </si>
  <si>
    <t>Clean down light fitting. Take down and refit for plaster works.</t>
  </si>
  <si>
    <t>Clean down fluorescent baton light fittings. Take down and refit during plaster works.</t>
  </si>
  <si>
    <t xml:space="preserve">Clean down and redecorate ceilings with  2 coats of emulsion. </t>
  </si>
  <si>
    <t>by Tenant</t>
  </si>
  <si>
    <t xml:space="preserve">Plain band cornice is due to be redecorated. </t>
  </si>
  <si>
    <t xml:space="preserve">Nosings to stairs are damaged, worn and require to be replaced. </t>
  </si>
  <si>
    <t xml:space="preserve">Timber fire exit door is due to be redecorated. </t>
  </si>
  <si>
    <t xml:space="preserve">Metal balusters are due to be redecorated. </t>
  </si>
  <si>
    <t xml:space="preserve">Clean down and redecorate door and frames with 2 coats of satinwood. </t>
  </si>
  <si>
    <t>To be confirmed following survey.</t>
  </si>
  <si>
    <t>To be confirmed following testing.</t>
  </si>
  <si>
    <t>Gas and central heating installations</t>
  </si>
  <si>
    <t>Test all valves and leave in good working order.</t>
  </si>
  <si>
    <t>Provide all service records for gas boilers.</t>
  </si>
  <si>
    <t>If no records are available, or the records identify remedial or repair works are required, tenant to undertake these and provide updated test certificate on completion.</t>
  </si>
  <si>
    <t xml:space="preserve">Radiators are fitted with thermostatic radiator valves. </t>
  </si>
  <si>
    <t>Clean down and redecorate skirting with 2 coats of satinwood (sufficient to cover blue paint finish).</t>
  </si>
  <si>
    <t>Check and overhaul water heater and leave in good working order.</t>
  </si>
  <si>
    <t xml:space="preserve">Ceiling requires decoration on completion of repair works. </t>
  </si>
  <si>
    <t xml:space="preserve">Repair cracking and make good damage from water ingress. </t>
  </si>
  <si>
    <r>
      <t>This is a Schedule of Dilapidations prepared for the Premises known as 173/175 Glasgow Road, Clydebank, Glasgow G81 1LQ. The Schedule identifies the Wants of Repair found at the Premises under the terms of the Lease dated 20th July 1999</t>
    </r>
    <r>
      <rPr>
        <sz val="11"/>
        <color rgb="FF000000"/>
        <rFont val="Arial"/>
        <family val="2"/>
      </rPr>
      <t xml:space="preserve"> entered into between Thomas George Baker and Mrs Myra Elizabeth Baker residing at 19 Collylin Road, Bearsden, Glasgow G61, the Managing Trustees acting under and in terms of the TG Baker (Sound) Limited Directors Trust Deed dated 31st March 1999 and their successors as Trustees under and in terms of Declaration of Trust dated 31st March 1999 whose interests are now vested in Standard Life Trustee Company Limited (“The Landlord”), and T G BAKER (SOUND) LIMITED (Company Number SCO53364) having their registered office at 173/175 Glasgow Road, Clydebank, G81 1LQ</t>
    </r>
    <r>
      <rPr>
        <sz val="11"/>
        <color rgb="FF000000"/>
        <rFont val="Times New Roman"/>
        <family val="1"/>
      </rPr>
      <t xml:space="preserve"> </t>
    </r>
    <r>
      <rPr>
        <sz val="11"/>
        <color rgb="FF000000"/>
        <rFont val="Arial"/>
        <family val="2"/>
      </rPr>
      <t xml:space="preserve">(“the Tenant”). </t>
    </r>
  </si>
  <si>
    <t>General areas of red sandstone walls are spalled/have been poorly repaired with cement render. Embedded railings have damaged the stonework at the window.</t>
  </si>
  <si>
    <t xml:space="preserve">Attic void original building </t>
  </si>
  <si>
    <t>Full of tenant's equipment/belongings.</t>
  </si>
  <si>
    <t>3 skylights affording roof access have been boarded up, 2 are fixed closed.</t>
  </si>
  <si>
    <t>Restore skylights to full working order.</t>
  </si>
  <si>
    <t>Heavy salt staining to underside of sarking.</t>
  </si>
  <si>
    <t>Arrange for full survey of sarking and other roof timbers to check for timbe decay. Repair all areas of decay identified in the survey report.</t>
  </si>
  <si>
    <t>Remove all effects and clean loft space on completion.</t>
  </si>
  <si>
    <t>Staircase to attic is due for decoration.</t>
  </si>
  <si>
    <t xml:space="preserve">Clean and redecorate stair with 2 coats satinwood inlcuding non slip treatment of treads. </t>
  </si>
  <si>
    <t>Walls and ceilings to stair access are due for decoration.</t>
  </si>
  <si>
    <t xml:space="preserve">Clean and redecorate stair with 2 coats emulsion. </t>
  </si>
  <si>
    <t>External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</si>
</sst>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
  </numFmts>
  <fonts count="20" x14ac:knownFonts="1">
    <font>
      <sz val="10"/>
      <name val="Arial"/>
    </font>
    <font>
      <sz val="10"/>
      <name val="Arial"/>
      <family val="2"/>
    </font>
    <font>
      <b/>
      <sz val="10"/>
      <name val="Arial"/>
      <family val="2"/>
    </font>
    <font>
      <sz val="10"/>
      <name val="Arial"/>
      <family val="2"/>
    </font>
    <font>
      <b/>
      <sz val="12"/>
      <name val="Arial"/>
      <family val="2"/>
    </font>
    <font>
      <b/>
      <sz val="8"/>
      <name val="Times New Roman"/>
      <family val="1"/>
    </font>
    <font>
      <b/>
      <sz val="11"/>
      <color theme="0"/>
      <name val="Arial"/>
      <family val="2"/>
    </font>
    <font>
      <sz val="10"/>
      <name val="Calibri"/>
      <family val="2"/>
      <scheme val="minor"/>
    </font>
    <font>
      <sz val="10"/>
      <name val="Aptos Narrow"/>
      <family val="2"/>
    </font>
    <font>
      <vertAlign val="superscript"/>
      <sz val="10"/>
      <name val="Arial"/>
      <family val="2"/>
    </font>
    <font>
      <sz val="13"/>
      <name val="Arial"/>
      <family val="2"/>
    </font>
    <font>
      <b/>
      <sz val="24"/>
      <color rgb="FF608097"/>
      <name val="Arial"/>
      <family val="2"/>
    </font>
    <font>
      <strike/>
      <sz val="10"/>
      <name val="Arial"/>
      <family val="2"/>
    </font>
    <font>
      <b/>
      <strike/>
      <sz val="10"/>
      <name val="Arial"/>
      <family val="2"/>
    </font>
    <font>
      <b/>
      <u/>
      <sz val="10"/>
      <name val="Arial"/>
      <family val="2"/>
    </font>
    <font>
      <b/>
      <sz val="24"/>
      <name val="Arial"/>
      <family val="2"/>
    </font>
    <font>
      <b/>
      <sz val="11"/>
      <color rgb="FF608097"/>
      <name val="Arial"/>
      <family val="2"/>
    </font>
    <font>
      <sz val="11"/>
      <name val="Arial"/>
      <family val="2"/>
    </font>
    <font>
      <sz val="11"/>
      <color rgb="FF000000"/>
      <name val="Arial"/>
      <family val="2"/>
    </font>
    <font>
      <sz val="11"/>
      <color rgb="FF000000"/>
      <name val="Times New Roman"/>
      <family val="1"/>
    </font>
  </fonts>
  <fills count="3">
    <fill>
      <patternFill patternType="none"/>
    </fill>
    <fill>
      <patternFill patternType="gray125"/>
    </fill>
    <fill>
      <patternFill patternType="solid">
        <fgColor rgb="FF608097"/>
        <bgColor indexed="64"/>
      </patternFill>
    </fill>
  </fills>
  <borders count="3">
    <border>
      <left/>
      <right/>
      <top/>
      <bottom/>
      <diagonal/>
    </border>
    <border>
      <left style="thin">
        <color indexed="64"/>
      </left>
      <right style="thin">
        <color indexed="64"/>
      </right>
      <top style="thin">
        <color indexed="64"/>
      </top>
      <bottom/>
      <diagonal/>
    </border>
    <border>
      <left/>
      <right/>
      <top/>
      <bottom style="thin">
        <color indexed="64"/>
      </bottom>
      <diagonal/>
    </border>
  </borders>
  <cellStyleXfs count="3">
    <xf numFmtId="0" fontId="0" fillId="0" borderId="0"/>
    <xf numFmtId="0" fontId="5" fillId="0" borderId="1" applyNumberFormat="0" applyFont="0" applyBorder="0" applyAlignment="0" applyProtection="0">
      <alignment horizontal="center" vertical="center" wrapText="1"/>
    </xf>
    <xf numFmtId="0" fontId="1" fillId="0" borderId="0"/>
  </cellStyleXfs>
  <cellXfs count="117">
    <xf numFmtId="0" fontId="0" fillId="0" borderId="0" xfId="0"/>
    <xf numFmtId="0" fontId="2" fillId="0" borderId="0" xfId="0" applyFont="1" applyAlignment="1" applyProtection="1">
      <alignment vertical="center" wrapText="1"/>
      <protection locked="0"/>
    </xf>
    <xf numFmtId="0" fontId="3" fillId="0" borderId="0" xfId="0" applyFont="1" applyAlignment="1" applyProtection="1">
      <alignment vertical="center" wrapText="1"/>
      <protection locked="0"/>
    </xf>
    <xf numFmtId="2" fontId="2" fillId="0" borderId="0" xfId="0" applyNumberFormat="1" applyFont="1" applyAlignment="1" applyProtection="1">
      <alignment horizontal="center" vertical="center" wrapText="1"/>
      <protection locked="0"/>
    </xf>
    <xf numFmtId="165" fontId="3" fillId="0" borderId="0" xfId="0" applyNumberFormat="1" applyFont="1" applyAlignment="1" applyProtection="1">
      <alignment horizontal="center" vertical="center" wrapText="1"/>
      <protection locked="0"/>
    </xf>
    <xf numFmtId="0" fontId="1" fillId="0" borderId="0" xfId="0" applyFont="1" applyAlignment="1" applyProtection="1">
      <alignment vertical="center" wrapText="1"/>
      <protection locked="0"/>
    </xf>
    <xf numFmtId="0" fontId="4" fillId="0" borderId="0" xfId="0" applyFont="1" applyAlignment="1" applyProtection="1">
      <alignment vertical="center" wrapText="1"/>
      <protection locked="0"/>
    </xf>
    <xf numFmtId="2" fontId="1" fillId="0" borderId="0" xfId="0" applyNumberFormat="1" applyFont="1" applyAlignment="1" applyProtection="1">
      <alignment horizontal="center" vertical="center" wrapText="1"/>
      <protection locked="0"/>
    </xf>
    <xf numFmtId="0" fontId="1" fillId="0" borderId="0" xfId="0" applyFont="1" applyAlignment="1" applyProtection="1">
      <alignment horizontal="center" vertical="center" wrapText="1"/>
      <protection locked="0"/>
    </xf>
    <xf numFmtId="1" fontId="1" fillId="0" borderId="0" xfId="0" applyNumberFormat="1" applyFont="1" applyAlignment="1" applyProtection="1">
      <alignment horizontal="center" vertical="center" wrapText="1"/>
      <protection locked="0"/>
    </xf>
    <xf numFmtId="164" fontId="1" fillId="0" borderId="0" xfId="0" applyNumberFormat="1" applyFont="1" applyAlignment="1" applyProtection="1">
      <alignment horizontal="center" vertical="center" wrapText="1"/>
      <protection locked="0"/>
    </xf>
    <xf numFmtId="0" fontId="1" fillId="0" borderId="0" xfId="0" applyFont="1" applyAlignment="1" applyProtection="1">
      <alignment horizontal="left" vertical="center" wrapText="1"/>
      <protection locked="0"/>
    </xf>
    <xf numFmtId="165" fontId="1" fillId="0" borderId="0" xfId="0" applyNumberFormat="1" applyFont="1" applyAlignment="1" applyProtection="1">
      <alignment horizontal="left" vertical="center" wrapText="1"/>
      <protection locked="0"/>
    </xf>
    <xf numFmtId="2" fontId="1" fillId="0" borderId="0" xfId="0" applyNumberFormat="1" applyFont="1" applyAlignment="1" applyProtection="1">
      <alignment horizontal="left" vertical="center" wrapText="1"/>
      <protection locked="0"/>
    </xf>
    <xf numFmtId="0" fontId="2" fillId="0" borderId="0" xfId="0" applyFont="1" applyAlignment="1" applyProtection="1">
      <alignment horizontal="left" vertical="center" wrapText="1"/>
      <protection locked="0"/>
    </xf>
    <xf numFmtId="0" fontId="3" fillId="0" borderId="0" xfId="0" applyFont="1" applyAlignment="1" applyProtection="1">
      <alignment horizontal="left" vertical="center" wrapText="1"/>
      <protection locked="0"/>
    </xf>
    <xf numFmtId="2" fontId="2" fillId="0" borderId="0" xfId="0" applyNumberFormat="1" applyFont="1" applyAlignment="1" applyProtection="1">
      <alignment horizontal="left" vertical="center" wrapText="1"/>
      <protection locked="0"/>
    </xf>
    <xf numFmtId="0" fontId="2" fillId="0" borderId="0" xfId="0" applyFont="1" applyAlignment="1" applyProtection="1">
      <alignment horizontal="center" vertical="center" wrapText="1"/>
      <protection locked="0"/>
    </xf>
    <xf numFmtId="1" fontId="2" fillId="0" borderId="0" xfId="0" applyNumberFormat="1" applyFont="1" applyAlignment="1" applyProtection="1">
      <alignment horizontal="center" vertical="center" wrapText="1"/>
      <protection locked="0"/>
    </xf>
    <xf numFmtId="164" fontId="2" fillId="0" borderId="0" xfId="0" applyNumberFormat="1" applyFont="1" applyAlignment="1" applyProtection="1">
      <alignment horizontal="center" vertical="center" wrapText="1"/>
      <protection locked="0"/>
    </xf>
    <xf numFmtId="164" fontId="3" fillId="0" borderId="0" xfId="0" applyNumberFormat="1" applyFont="1" applyAlignment="1" applyProtection="1">
      <alignment horizontal="center" vertical="center" wrapText="1"/>
      <protection locked="0"/>
    </xf>
    <xf numFmtId="2" fontId="6" fillId="2" borderId="0" xfId="0" applyNumberFormat="1" applyFont="1" applyFill="1" applyAlignment="1">
      <alignment vertical="center" wrapText="1"/>
    </xf>
    <xf numFmtId="165" fontId="6" fillId="2" borderId="0" xfId="0" applyNumberFormat="1" applyFont="1" applyFill="1" applyAlignment="1">
      <alignment vertical="center" wrapText="1"/>
    </xf>
    <xf numFmtId="0" fontId="6" fillId="2" borderId="0" xfId="0" applyFont="1" applyFill="1" applyAlignment="1">
      <alignment horizontal="center" vertical="center" wrapText="1"/>
    </xf>
    <xf numFmtId="1" fontId="6" fillId="2" borderId="0" xfId="0" applyNumberFormat="1" applyFont="1" applyFill="1" applyAlignment="1">
      <alignment horizontal="center" vertical="center" wrapText="1"/>
    </xf>
    <xf numFmtId="164" fontId="6" fillId="2" borderId="0" xfId="0" applyNumberFormat="1" applyFont="1" applyFill="1" applyAlignment="1">
      <alignment horizontal="center" vertical="center" wrapText="1"/>
    </xf>
    <xf numFmtId="0" fontId="7" fillId="0" borderId="0" xfId="0" applyFont="1" applyAlignment="1">
      <alignment horizontal="justify" vertical="top" wrapText="1"/>
    </xf>
    <xf numFmtId="165" fontId="2" fillId="0" borderId="0" xfId="0" applyNumberFormat="1" applyFont="1" applyAlignment="1" applyProtection="1">
      <alignment horizontal="left" vertical="center" wrapText="1"/>
      <protection locked="0"/>
    </xf>
    <xf numFmtId="0" fontId="7" fillId="0" borderId="0" xfId="1" applyFont="1" applyBorder="1" applyAlignment="1">
      <alignment horizontal="center" vertical="top" wrapText="1"/>
    </xf>
    <xf numFmtId="0" fontId="7" fillId="0" borderId="0" xfId="1" applyFont="1" applyBorder="1" applyAlignment="1">
      <alignment horizontal="center" vertical="center" wrapText="1"/>
    </xf>
    <xf numFmtId="165" fontId="6" fillId="2" borderId="0" xfId="0" applyNumberFormat="1" applyFont="1" applyFill="1" applyAlignment="1">
      <alignment horizontal="center" vertical="center" wrapText="1"/>
    </xf>
    <xf numFmtId="165" fontId="1" fillId="0" borderId="0" xfId="0" applyNumberFormat="1" applyFont="1" applyAlignment="1" applyProtection="1">
      <alignment horizontal="center" vertical="center" wrapText="1"/>
      <protection locked="0"/>
    </xf>
    <xf numFmtId="2" fontId="6" fillId="2" borderId="0" xfId="0" applyNumberFormat="1" applyFont="1" applyFill="1" applyAlignment="1">
      <alignment horizontal="center" vertical="center" wrapText="1"/>
    </xf>
    <xf numFmtId="165" fontId="0" fillId="0" borderId="0" xfId="0" applyNumberFormat="1" applyAlignment="1" applyProtection="1">
      <alignment horizontal="center" vertical="center" wrapText="1"/>
      <protection locked="0"/>
    </xf>
    <xf numFmtId="1" fontId="0" fillId="0" borderId="0" xfId="0" applyNumberFormat="1" applyAlignment="1" applyProtection="1">
      <alignment horizontal="center" vertical="center" wrapText="1"/>
      <protection locked="0"/>
    </xf>
    <xf numFmtId="2" fontId="0" fillId="0" borderId="0" xfId="0" applyNumberFormat="1" applyAlignment="1" applyProtection="1">
      <alignment horizontal="center" vertical="center" wrapText="1"/>
      <protection locked="0"/>
    </xf>
    <xf numFmtId="164" fontId="0" fillId="0" borderId="0" xfId="0" applyNumberFormat="1" applyAlignment="1" applyProtection="1">
      <alignment horizontal="center" vertical="center" wrapText="1"/>
      <protection locked="0"/>
    </xf>
    <xf numFmtId="0" fontId="0" fillId="0" borderId="0" xfId="0" applyAlignment="1" applyProtection="1">
      <alignment horizontal="left" vertical="center" wrapText="1"/>
      <protection locked="0"/>
    </xf>
    <xf numFmtId="0" fontId="1" fillId="0" borderId="0" xfId="0" applyFont="1" applyAlignment="1">
      <alignment horizontal="left" vertical="center" wrapText="1"/>
    </xf>
    <xf numFmtId="0" fontId="8" fillId="0" borderId="0" xfId="0" applyFont="1" applyAlignment="1" applyProtection="1">
      <alignment horizontal="center" vertical="center" wrapText="1"/>
      <protection locked="0"/>
    </xf>
    <xf numFmtId="164" fontId="1" fillId="0" borderId="0" xfId="0" applyNumberFormat="1" applyFont="1" applyAlignment="1" applyProtection="1">
      <alignment horizontal="left" vertical="center" wrapText="1"/>
      <protection locked="0"/>
    </xf>
    <xf numFmtId="0" fontId="0" fillId="0" borderId="0" xfId="0" applyAlignment="1">
      <alignment horizontal="left" vertical="center" wrapText="1"/>
    </xf>
    <xf numFmtId="0" fontId="0" fillId="0" borderId="0" xfId="0" applyAlignment="1">
      <alignment horizontal="center" vertical="center" wrapText="1"/>
    </xf>
    <xf numFmtId="164" fontId="0" fillId="0" borderId="0" xfId="0" applyNumberFormat="1" applyAlignment="1" applyProtection="1">
      <alignment horizontal="right" vertical="center" wrapText="1"/>
      <protection locked="0"/>
    </xf>
    <xf numFmtId="0" fontId="0" fillId="0" borderId="0" xfId="0" applyAlignment="1" applyProtection="1">
      <alignment horizontal="center" vertical="center" wrapText="1"/>
      <protection locked="0"/>
    </xf>
    <xf numFmtId="0" fontId="7" fillId="0" borderId="0" xfId="0" applyFont="1" applyAlignment="1">
      <alignment horizontal="center" vertical="top" wrapText="1"/>
    </xf>
    <xf numFmtId="0" fontId="1" fillId="0" borderId="0" xfId="0" applyFont="1" applyAlignment="1">
      <alignment horizontal="center" vertical="center" wrapText="1"/>
    </xf>
    <xf numFmtId="164" fontId="1" fillId="0" borderId="2" xfId="0" applyNumberFormat="1" applyFont="1" applyBorder="1" applyAlignment="1" applyProtection="1">
      <alignment horizontal="center" vertical="center" wrapText="1"/>
      <protection locked="0"/>
    </xf>
    <xf numFmtId="0" fontId="0" fillId="0" borderId="0" xfId="0" applyAlignment="1">
      <alignment horizontal="center" vertical="center"/>
    </xf>
    <xf numFmtId="164" fontId="0" fillId="0" borderId="0" xfId="0" applyNumberFormat="1" applyAlignment="1">
      <alignment horizontal="center" vertical="center"/>
    </xf>
    <xf numFmtId="0" fontId="1" fillId="0" borderId="0" xfId="0" applyFont="1" applyAlignment="1">
      <alignment horizontal="center" vertical="center"/>
    </xf>
    <xf numFmtId="0" fontId="0" fillId="0" borderId="0" xfId="0" applyAlignment="1">
      <alignment horizontal="left" vertical="center"/>
    </xf>
    <xf numFmtId="0" fontId="1" fillId="0" borderId="0" xfId="0" applyFont="1" applyAlignment="1">
      <alignment horizontal="left" vertical="center"/>
    </xf>
    <xf numFmtId="164" fontId="0" fillId="0" borderId="0" xfId="0" applyNumberFormat="1" applyAlignment="1">
      <alignment horizontal="center" vertical="center" wrapText="1"/>
    </xf>
    <xf numFmtId="165" fontId="6" fillId="0" borderId="0" xfId="0" applyNumberFormat="1" applyFont="1" applyAlignment="1">
      <alignment horizontal="center" vertical="center" wrapText="1"/>
    </xf>
    <xf numFmtId="49" fontId="11" fillId="0" borderId="0" xfId="0" applyNumberFormat="1" applyFont="1" applyAlignment="1">
      <alignment horizontal="left" vertical="center"/>
    </xf>
    <xf numFmtId="0" fontId="0" fillId="0" borderId="0" xfId="0" applyAlignment="1" applyProtection="1">
      <alignment vertical="center" wrapText="1"/>
      <protection locked="0"/>
    </xf>
    <xf numFmtId="2" fontId="12" fillId="0" borderId="0" xfId="0" applyNumberFormat="1" applyFont="1" applyAlignment="1" applyProtection="1">
      <alignment horizontal="center" vertical="center" wrapText="1"/>
      <protection locked="0"/>
    </xf>
    <xf numFmtId="165" fontId="12" fillId="0" borderId="0" xfId="0" applyNumberFormat="1" applyFont="1" applyAlignment="1" applyProtection="1">
      <alignment horizontal="center" vertical="center" wrapText="1"/>
      <protection locked="0"/>
    </xf>
    <xf numFmtId="0" fontId="12" fillId="0" borderId="0" xfId="0" applyFont="1" applyAlignment="1" applyProtection="1">
      <alignment horizontal="left" vertical="center" wrapText="1"/>
      <protection locked="0"/>
    </xf>
    <xf numFmtId="0" fontId="12" fillId="0" borderId="0" xfId="0" applyFont="1" applyAlignment="1" applyProtection="1">
      <alignment horizontal="center" vertical="center" wrapText="1"/>
      <protection locked="0"/>
    </xf>
    <xf numFmtId="164" fontId="12" fillId="0" borderId="0" xfId="0" applyNumberFormat="1" applyFont="1" applyAlignment="1" applyProtection="1">
      <alignment horizontal="center" vertical="center" wrapText="1"/>
      <protection locked="0"/>
    </xf>
    <xf numFmtId="0" fontId="13" fillId="0" borderId="0" xfId="0" applyFont="1" applyAlignment="1">
      <alignment vertical="center"/>
    </xf>
    <xf numFmtId="0" fontId="3" fillId="0" borderId="0" xfId="0" applyFont="1" applyAlignment="1" applyProtection="1">
      <alignment horizontal="center" vertical="center" wrapText="1"/>
      <protection locked="0"/>
    </xf>
    <xf numFmtId="2" fontId="3" fillId="0" borderId="0" xfId="0" applyNumberFormat="1" applyFont="1" applyAlignment="1" applyProtection="1">
      <alignment horizontal="center" vertical="center" wrapText="1"/>
      <protection locked="0"/>
    </xf>
    <xf numFmtId="0" fontId="14" fillId="0" borderId="0" xfId="0" applyFont="1"/>
    <xf numFmtId="0" fontId="15" fillId="0" borderId="0" xfId="0" applyFont="1" applyAlignment="1">
      <alignment vertical="center" wrapText="1"/>
    </xf>
    <xf numFmtId="0" fontId="11" fillId="0" borderId="0" xfId="0" applyFont="1" applyAlignment="1">
      <alignment horizontal="left" vertical="center" wrapText="1"/>
    </xf>
    <xf numFmtId="0" fontId="0" fillId="0" borderId="0" xfId="0" applyAlignment="1">
      <alignment vertical="center"/>
    </xf>
    <xf numFmtId="0" fontId="0" fillId="0" borderId="0" xfId="0" applyAlignment="1">
      <alignment wrapText="1"/>
    </xf>
    <xf numFmtId="0" fontId="11" fillId="0" borderId="0" xfId="0" applyFont="1" applyAlignment="1" applyProtection="1">
      <alignment horizontal="left" vertical="center" wrapText="1"/>
      <protection locked="0"/>
    </xf>
    <xf numFmtId="0" fontId="11" fillId="0" borderId="0" xfId="0" applyFont="1" applyAlignment="1">
      <alignment vertical="center" wrapText="1"/>
    </xf>
    <xf numFmtId="0" fontId="17" fillId="0" borderId="0" xfId="0" applyFont="1" applyAlignment="1">
      <alignment vertical="center" wrapText="1"/>
    </xf>
    <xf numFmtId="165" fontId="17" fillId="0" borderId="0" xfId="0" applyNumberFormat="1" applyFont="1" applyAlignment="1" applyProtection="1">
      <alignment horizontal="center" vertical="center" wrapText="1"/>
      <protection locked="0"/>
    </xf>
    <xf numFmtId="0" fontId="17" fillId="0" borderId="0" xfId="0" applyFont="1" applyAlignment="1">
      <alignment horizontal="justify" vertical="center" wrapText="1"/>
    </xf>
    <xf numFmtId="0" fontId="6" fillId="0" borderId="0" xfId="0" applyFont="1" applyAlignment="1">
      <alignment horizontal="center" wrapText="1"/>
    </xf>
    <xf numFmtId="1" fontId="6" fillId="0" borderId="0" xfId="0" applyNumberFormat="1" applyFont="1" applyAlignment="1">
      <alignment horizontal="center" wrapText="1"/>
    </xf>
    <xf numFmtId="164" fontId="6" fillId="0" borderId="0" xfId="0" applyNumberFormat="1" applyFont="1" applyAlignment="1">
      <alignment horizontal="center" wrapText="1"/>
    </xf>
    <xf numFmtId="0" fontId="1" fillId="0" borderId="0" xfId="0" applyFont="1" applyAlignment="1" applyProtection="1">
      <alignment horizontal="center" wrapText="1"/>
      <protection locked="0"/>
    </xf>
    <xf numFmtId="1" fontId="1" fillId="0" borderId="0" xfId="0" applyNumberFormat="1" applyFont="1" applyAlignment="1" applyProtection="1">
      <alignment horizontal="center" wrapText="1"/>
      <protection locked="0"/>
    </xf>
    <xf numFmtId="164" fontId="1" fillId="0" borderId="0" xfId="0" applyNumberFormat="1" applyFont="1" applyAlignment="1" applyProtection="1">
      <alignment horizontal="center" wrapText="1"/>
      <protection locked="0"/>
    </xf>
    <xf numFmtId="0" fontId="1" fillId="0" borderId="0" xfId="0" applyFont="1" applyAlignment="1" applyProtection="1">
      <alignment horizontal="left" wrapText="1"/>
      <protection locked="0"/>
    </xf>
    <xf numFmtId="165" fontId="1" fillId="0" borderId="0" xfId="0" applyNumberFormat="1" applyFont="1" applyAlignment="1" applyProtection="1">
      <alignment horizontal="center" wrapText="1"/>
      <protection locked="0"/>
    </xf>
    <xf numFmtId="0" fontId="0" fillId="0" borderId="0" xfId="0" applyAlignment="1">
      <alignment horizontal="center" wrapText="1"/>
    </xf>
    <xf numFmtId="0" fontId="15" fillId="0" borderId="0" xfId="0" applyFont="1" applyAlignment="1">
      <alignment wrapText="1"/>
    </xf>
    <xf numFmtId="0" fontId="11" fillId="0" borderId="0" xfId="0" applyFont="1" applyAlignment="1">
      <alignment horizontal="left" wrapText="1"/>
    </xf>
    <xf numFmtId="0" fontId="11" fillId="0" borderId="0" xfId="0" applyFont="1" applyAlignment="1">
      <alignment wrapText="1"/>
    </xf>
    <xf numFmtId="0" fontId="3" fillId="0" borderId="0" xfId="0" applyFont="1" applyAlignment="1" applyProtection="1">
      <alignment horizontal="left" wrapText="1"/>
      <protection locked="0"/>
    </xf>
    <xf numFmtId="49" fontId="11" fillId="0" borderId="0" xfId="0" applyNumberFormat="1" applyFont="1" applyAlignment="1">
      <alignment horizontal="left"/>
    </xf>
    <xf numFmtId="164" fontId="0" fillId="0" borderId="0" xfId="0" applyNumberFormat="1" applyAlignment="1" applyProtection="1">
      <alignment horizontal="center" wrapText="1"/>
      <protection locked="0"/>
    </xf>
    <xf numFmtId="0" fontId="0" fillId="0" borderId="0" xfId="0" applyAlignment="1" applyProtection="1">
      <alignment horizontal="center" wrapText="1"/>
      <protection locked="0"/>
    </xf>
    <xf numFmtId="164" fontId="0" fillId="0" borderId="0" xfId="0" applyNumberFormat="1" applyAlignment="1" applyProtection="1">
      <alignment horizontal="right" wrapText="1"/>
      <protection locked="0"/>
    </xf>
    <xf numFmtId="0" fontId="17" fillId="0" borderId="0" xfId="0" applyFont="1" applyAlignment="1">
      <alignment horizontal="center" wrapText="1"/>
    </xf>
    <xf numFmtId="0" fontId="16" fillId="0" borderId="0" xfId="0" applyFont="1"/>
    <xf numFmtId="0" fontId="17" fillId="0" borderId="0" xfId="0" applyFont="1" applyAlignment="1" applyProtection="1">
      <alignment horizontal="left" wrapText="1"/>
      <protection locked="0"/>
    </xf>
    <xf numFmtId="0" fontId="17" fillId="0" borderId="0" xfId="0" applyFont="1" applyAlignment="1" applyProtection="1">
      <alignment horizontal="center" wrapText="1"/>
      <protection locked="0"/>
    </xf>
    <xf numFmtId="1" fontId="17" fillId="0" borderId="0" xfId="0" applyNumberFormat="1" applyFont="1" applyAlignment="1" applyProtection="1">
      <alignment horizontal="center" wrapText="1"/>
      <protection locked="0"/>
    </xf>
    <xf numFmtId="164" fontId="17" fillId="0" borderId="0" xfId="0" applyNumberFormat="1" applyFont="1" applyAlignment="1" applyProtection="1">
      <alignment horizontal="center" wrapText="1"/>
      <protection locked="0"/>
    </xf>
    <xf numFmtId="0" fontId="17" fillId="0" borderId="0" xfId="0" applyFont="1" applyAlignment="1">
      <alignment horizontal="justify"/>
    </xf>
    <xf numFmtId="164" fontId="3" fillId="0" borderId="0" xfId="0" applyNumberFormat="1" applyFont="1" applyAlignment="1" applyProtection="1">
      <alignment horizontal="center" wrapText="1"/>
      <protection locked="0"/>
    </xf>
    <xf numFmtId="0" fontId="1" fillId="0" borderId="0" xfId="0" applyFont="1" applyAlignment="1" applyProtection="1">
      <alignment wrapText="1"/>
      <protection locked="0"/>
    </xf>
    <xf numFmtId="165" fontId="17" fillId="0" borderId="0" xfId="0" applyNumberFormat="1" applyFont="1" applyAlignment="1" applyProtection="1">
      <alignment horizontal="right" vertical="center" wrapText="1"/>
      <protection locked="0"/>
    </xf>
    <xf numFmtId="165" fontId="10" fillId="0" borderId="0" xfId="0" applyNumberFormat="1" applyFont="1" applyAlignment="1" applyProtection="1">
      <alignment horizontal="center" vertical="top" wrapText="1"/>
      <protection locked="0"/>
    </xf>
    <xf numFmtId="165" fontId="6" fillId="0" borderId="0" xfId="0" applyNumberFormat="1" applyFont="1" applyAlignment="1">
      <alignment horizontal="center" vertical="center" wrapText="1"/>
    </xf>
    <xf numFmtId="0" fontId="0" fillId="0" borderId="0" xfId="0" applyAlignment="1">
      <alignment horizontal="center" vertical="center" wrapText="1"/>
    </xf>
    <xf numFmtId="165" fontId="1" fillId="0" borderId="0" xfId="0" applyNumberFormat="1" applyFont="1" applyAlignment="1" applyProtection="1">
      <alignment horizontal="center" vertical="center" wrapText="1"/>
      <protection locked="0"/>
    </xf>
    <xf numFmtId="0" fontId="0" fillId="0" borderId="0" xfId="0" applyAlignment="1">
      <alignment vertical="center" wrapText="1"/>
    </xf>
    <xf numFmtId="0" fontId="11" fillId="0" borderId="0" xfId="0" applyFont="1" applyAlignment="1">
      <alignment horizontal="left" vertical="center" wrapText="1"/>
    </xf>
    <xf numFmtId="0" fontId="15" fillId="0" borderId="0" xfId="0" applyFont="1" applyAlignment="1">
      <alignment vertical="center" wrapText="1"/>
    </xf>
    <xf numFmtId="0" fontId="11" fillId="0" borderId="0" xfId="0" applyFont="1" applyAlignment="1" applyProtection="1">
      <alignment horizontal="left" vertical="center" wrapText="1"/>
      <protection locked="0"/>
    </xf>
    <xf numFmtId="0" fontId="11" fillId="0" borderId="0" xfId="0" applyFont="1" applyAlignment="1">
      <alignment vertical="center" wrapText="1"/>
    </xf>
    <xf numFmtId="0" fontId="17" fillId="0" borderId="0" xfId="0" applyFont="1" applyAlignment="1">
      <alignment horizontal="justify" vertical="center" wrapText="1"/>
    </xf>
    <xf numFmtId="0" fontId="17" fillId="0" borderId="0" xfId="0" applyFont="1" applyAlignment="1">
      <alignment vertical="center" wrapText="1"/>
    </xf>
    <xf numFmtId="0" fontId="17" fillId="0" borderId="0" xfId="0" applyFont="1" applyAlignment="1">
      <alignment horizontal="justify" wrapText="1"/>
    </xf>
    <xf numFmtId="0" fontId="17" fillId="0" borderId="0" xfId="0" applyFont="1" applyAlignment="1">
      <alignment wrapText="1"/>
    </xf>
    <xf numFmtId="165" fontId="17" fillId="0" borderId="0" xfId="0" applyNumberFormat="1" applyFont="1" applyAlignment="1" applyProtection="1">
      <alignment horizontal="left" vertical="center" wrapText="1"/>
      <protection locked="0"/>
    </xf>
    <xf numFmtId="0" fontId="17" fillId="0" borderId="0" xfId="0" applyFont="1" applyAlignment="1">
      <alignment horizontal="left" vertical="center" wrapText="1"/>
    </xf>
  </cellXfs>
  <cellStyles count="3">
    <cellStyle name="Lisa" xfId="1" xr:uid="{DE0E1F33-3C19-471B-9B8F-06283471535C}"/>
    <cellStyle name="Normal" xfId="0" builtinId="0"/>
    <cellStyle name="Normal 2" xfId="2" xr:uid="{B2311FC1-0140-404D-938B-DA0754DAD10B}"/>
  </cellStyles>
  <dxfs count="0"/>
  <tableStyles count="0" defaultTableStyle="TableStyleMedium2" defaultPivotStyle="PivotStyleLight16"/>
  <colors>
    <mruColors>
      <color rgb="FF6080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3/09/relationships/Python" Target="pyth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169332</xdr:rowOff>
    </xdr:from>
    <xdr:to>
      <xdr:col>1</xdr:col>
      <xdr:colOff>2613853</xdr:colOff>
      <xdr:row>12</xdr:row>
      <xdr:rowOff>704</xdr:rowOff>
    </xdr:to>
    <xdr:pic>
      <xdr:nvPicPr>
        <xdr:cNvPr id="2" name="Picture 1">
          <a:extLst>
            <a:ext uri="{FF2B5EF4-FFF2-40B4-BE49-F238E27FC236}">
              <a16:creationId xmlns:a16="http://schemas.microsoft.com/office/drawing/2014/main" id="{F728D291-42F0-37E5-5B26-A04D4C7B87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857249"/>
          <a:ext cx="2998380" cy="11853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7430A-2F59-4217-A580-E75DD2891154}">
  <sheetPr>
    <tabColor theme="3" tint="0.39997558519241921"/>
  </sheetPr>
  <dimension ref="A1:H587"/>
  <sheetViews>
    <sheetView view="pageLayout" zoomScale="90" zoomScaleNormal="90" zoomScaleSheetLayoutView="100" zoomScalePageLayoutView="90" workbookViewId="0">
      <selection activeCell="E42" sqref="A1:H42"/>
    </sheetView>
  </sheetViews>
  <sheetFormatPr baseColWidth="10" defaultColWidth="5.6640625" defaultRowHeight="13" x14ac:dyDescent="0.15"/>
  <cols>
    <col min="1" max="1" width="5.5" style="4" customWidth="1"/>
    <col min="2" max="2" width="76.83203125" style="100" customWidth="1"/>
    <col min="3" max="3" width="6" style="78" customWidth="1"/>
    <col min="4" max="4" width="7.33203125" style="79" customWidth="1"/>
    <col min="5" max="5" width="8" style="80" customWidth="1"/>
    <col min="6" max="6" width="8" style="80" hidden="1" customWidth="1"/>
    <col min="7" max="7" width="11" style="99" customWidth="1"/>
    <col min="8" max="8" width="3" style="2" hidden="1" customWidth="1"/>
    <col min="9" max="16384" width="5.6640625" style="2"/>
  </cols>
  <sheetData>
    <row r="1" spans="1:8" s="6" customFormat="1" ht="16" x14ac:dyDescent="0.15">
      <c r="A1" s="103"/>
      <c r="B1" s="104"/>
      <c r="C1" s="75"/>
      <c r="D1" s="76"/>
      <c r="E1" s="77"/>
      <c r="F1" s="77"/>
      <c r="G1" s="77"/>
    </row>
    <row r="2" spans="1:8" s="15" customFormat="1" ht="14" x14ac:dyDescent="0.15">
      <c r="A2" s="103"/>
      <c r="B2" s="104"/>
      <c r="C2" s="78"/>
      <c r="D2" s="79"/>
      <c r="E2" s="80"/>
      <c r="F2" s="80"/>
      <c r="G2" s="80"/>
      <c r="H2" s="11"/>
    </row>
    <row r="3" spans="1:8" s="15" customFormat="1" ht="14" x14ac:dyDescent="0.15">
      <c r="A3" s="103"/>
      <c r="B3" s="104"/>
      <c r="C3" s="78"/>
      <c r="D3" s="79"/>
      <c r="E3" s="80"/>
      <c r="F3" s="80"/>
      <c r="G3" s="80"/>
      <c r="H3" s="11"/>
    </row>
    <row r="4" spans="1:8" s="14" customFormat="1" ht="14" x14ac:dyDescent="0.15">
      <c r="A4" s="103"/>
      <c r="B4" s="104"/>
      <c r="C4" s="78"/>
      <c r="D4" s="79"/>
      <c r="E4" s="80"/>
      <c r="F4" s="80"/>
      <c r="G4" s="80"/>
      <c r="H4" s="11"/>
    </row>
    <row r="5" spans="1:8" s="14" customFormat="1" x14ac:dyDescent="0.15">
      <c r="A5" s="105"/>
      <c r="B5" s="106"/>
      <c r="C5" s="78"/>
      <c r="D5" s="79"/>
      <c r="E5" s="80"/>
      <c r="F5" s="80"/>
      <c r="G5" s="80"/>
      <c r="H5" s="11"/>
    </row>
    <row r="6" spans="1:8" s="14" customFormat="1" x14ac:dyDescent="0.15">
      <c r="A6" s="31"/>
      <c r="B6" s="81"/>
      <c r="C6" s="78"/>
      <c r="D6" s="79"/>
      <c r="E6" s="80"/>
      <c r="F6" s="80"/>
      <c r="G6" s="80"/>
      <c r="H6" s="11"/>
    </row>
    <row r="7" spans="1:8" s="14" customFormat="1" x14ac:dyDescent="0.15">
      <c r="A7" s="31"/>
      <c r="B7" s="82"/>
      <c r="C7" s="78"/>
      <c r="D7" s="79"/>
      <c r="E7" s="80"/>
      <c r="F7" s="80"/>
      <c r="G7" s="80"/>
      <c r="H7" s="11"/>
    </row>
    <row r="8" spans="1:8" s="14" customFormat="1" x14ac:dyDescent="0.15">
      <c r="A8" s="31"/>
      <c r="B8" s="82"/>
      <c r="C8" s="78"/>
      <c r="D8" s="79"/>
      <c r="E8" s="80"/>
      <c r="F8" s="80"/>
      <c r="G8" s="80"/>
      <c r="H8" s="11"/>
    </row>
    <row r="9" spans="1:8" s="14" customFormat="1" x14ac:dyDescent="0.15">
      <c r="A9" s="31"/>
      <c r="B9" s="82"/>
      <c r="C9" s="83"/>
      <c r="D9" s="79"/>
      <c r="E9" s="80"/>
      <c r="F9" s="80"/>
      <c r="G9" s="80"/>
      <c r="H9" s="11"/>
    </row>
    <row r="10" spans="1:8" s="14" customFormat="1" x14ac:dyDescent="0.15">
      <c r="A10" s="31"/>
      <c r="B10" s="82"/>
      <c r="C10" s="83"/>
      <c r="D10" s="79"/>
      <c r="E10" s="80"/>
      <c r="F10" s="80"/>
      <c r="G10" s="80"/>
      <c r="H10" s="11"/>
    </row>
    <row r="11" spans="1:8" s="14" customFormat="1" x14ac:dyDescent="0.15">
      <c r="A11" s="31"/>
      <c r="B11" s="82"/>
      <c r="C11" s="83"/>
      <c r="D11" s="79"/>
      <c r="E11" s="80"/>
      <c r="F11" s="80"/>
      <c r="G11" s="80"/>
      <c r="H11" s="11"/>
    </row>
    <row r="12" spans="1:8" s="14" customFormat="1" x14ac:dyDescent="0.15">
      <c r="A12" s="31"/>
      <c r="B12" s="82"/>
      <c r="C12" s="83"/>
      <c r="D12" s="79"/>
      <c r="E12" s="80"/>
      <c r="F12" s="80"/>
      <c r="G12" s="80"/>
      <c r="H12" s="11"/>
    </row>
    <row r="13" spans="1:8" s="14" customFormat="1" x14ac:dyDescent="0.15">
      <c r="A13" s="105"/>
      <c r="B13" s="106"/>
      <c r="C13" s="83"/>
      <c r="D13" s="79"/>
      <c r="E13" s="80"/>
      <c r="F13" s="80"/>
      <c r="G13" s="80"/>
      <c r="H13" s="11"/>
    </row>
    <row r="14" spans="1:8" s="14" customFormat="1" ht="14" x14ac:dyDescent="0.15">
      <c r="A14" s="103"/>
      <c r="B14" s="104"/>
      <c r="C14" s="78"/>
      <c r="D14" s="79"/>
      <c r="E14" s="80"/>
      <c r="F14" s="80"/>
      <c r="G14" s="80"/>
      <c r="H14" s="11"/>
    </row>
    <row r="15" spans="1:8" s="15" customFormat="1" ht="14" x14ac:dyDescent="0.15">
      <c r="A15" s="103"/>
      <c r="B15" s="104"/>
      <c r="C15" s="78"/>
      <c r="D15" s="79"/>
      <c r="E15" s="80"/>
      <c r="F15" s="80"/>
      <c r="G15" s="80"/>
      <c r="H15" s="11"/>
    </row>
    <row r="16" spans="1:8" s="15" customFormat="1" ht="14" x14ac:dyDescent="0.15">
      <c r="A16" s="103"/>
      <c r="B16" s="104"/>
      <c r="C16" s="78"/>
      <c r="D16" s="79"/>
      <c r="E16" s="80"/>
      <c r="F16" s="80"/>
      <c r="G16" s="80"/>
      <c r="H16" s="11"/>
    </row>
    <row r="17" spans="1:8" s="15" customFormat="1" ht="14" x14ac:dyDescent="0.15">
      <c r="A17" s="103"/>
      <c r="B17" s="104"/>
      <c r="C17" s="78"/>
      <c r="D17" s="79"/>
      <c r="E17" s="80"/>
      <c r="F17" s="80"/>
      <c r="G17" s="80"/>
      <c r="H17" s="11"/>
    </row>
    <row r="18" spans="1:8" s="15" customFormat="1" ht="30" x14ac:dyDescent="0.15">
      <c r="A18" s="108" t="s">
        <v>752</v>
      </c>
      <c r="B18" s="108"/>
      <c r="C18" s="106"/>
      <c r="D18" s="106"/>
      <c r="E18" s="106"/>
      <c r="F18" s="106"/>
      <c r="G18" s="106"/>
      <c r="H18" s="11"/>
    </row>
    <row r="19" spans="1:8" s="37" customFormat="1" ht="6" customHeight="1" x14ac:dyDescent="0.3">
      <c r="A19" s="66"/>
      <c r="B19" s="84"/>
      <c r="C19" s="69"/>
      <c r="D19" s="69"/>
      <c r="E19" s="69"/>
      <c r="F19" s="69"/>
      <c r="G19" s="69"/>
    </row>
    <row r="20" spans="1:8" s="37" customFormat="1" ht="22.75" customHeight="1" x14ac:dyDescent="0.15">
      <c r="A20" s="107" t="s">
        <v>392</v>
      </c>
      <c r="B20" s="107"/>
      <c r="C20" s="106"/>
      <c r="D20" s="106"/>
      <c r="E20" s="106"/>
      <c r="F20" s="106"/>
      <c r="G20" s="106"/>
    </row>
    <row r="21" spans="1:8" s="37" customFormat="1" ht="6" customHeight="1" x14ac:dyDescent="0.3">
      <c r="A21" s="67"/>
      <c r="B21" s="85"/>
      <c r="C21" s="69"/>
      <c r="D21" s="69"/>
      <c r="E21" s="69"/>
      <c r="F21" s="69"/>
      <c r="G21" s="69"/>
    </row>
    <row r="22" spans="1:8" s="37" customFormat="1" ht="22.75" customHeight="1" x14ac:dyDescent="0.15">
      <c r="A22" s="107" t="s">
        <v>393</v>
      </c>
      <c r="B22" s="106"/>
      <c r="C22" s="106"/>
      <c r="D22" s="106"/>
      <c r="E22" s="106"/>
      <c r="F22" s="106"/>
      <c r="G22" s="106"/>
    </row>
    <row r="23" spans="1:8" s="37" customFormat="1" ht="6" customHeight="1" x14ac:dyDescent="0.15">
      <c r="A23" s="67"/>
      <c r="B23" s="69"/>
      <c r="C23" s="69"/>
      <c r="D23" s="69"/>
      <c r="E23" s="69"/>
      <c r="F23" s="69"/>
      <c r="G23" s="69"/>
    </row>
    <row r="24" spans="1:8" s="37" customFormat="1" ht="22.75" customHeight="1" x14ac:dyDescent="0.15">
      <c r="A24" s="107" t="s">
        <v>394</v>
      </c>
      <c r="B24" s="106"/>
      <c r="C24" s="106"/>
      <c r="D24" s="106"/>
      <c r="E24" s="106"/>
      <c r="F24" s="106"/>
      <c r="G24" s="106"/>
    </row>
    <row r="25" spans="1:8" s="15" customFormat="1" ht="6" customHeight="1" x14ac:dyDescent="0.15">
      <c r="A25" s="67"/>
      <c r="B25" s="69"/>
      <c r="C25" s="69"/>
      <c r="D25" s="69"/>
      <c r="E25" s="69"/>
      <c r="F25" s="69"/>
      <c r="G25" s="69"/>
      <c r="H25" s="11"/>
    </row>
    <row r="26" spans="1:8" s="15" customFormat="1" ht="22.75" customHeight="1" x14ac:dyDescent="0.15">
      <c r="A26" s="107" t="s">
        <v>395</v>
      </c>
      <c r="B26" s="106"/>
      <c r="C26" s="106"/>
      <c r="D26" s="106"/>
      <c r="E26" s="106"/>
      <c r="F26" s="106"/>
      <c r="G26" s="106"/>
      <c r="H26" s="11"/>
    </row>
    <row r="27" spans="1:8" s="15" customFormat="1" ht="6" customHeight="1" x14ac:dyDescent="0.15">
      <c r="A27" s="67"/>
      <c r="B27" s="69"/>
      <c r="C27" s="69"/>
      <c r="D27" s="69"/>
      <c r="E27" s="69"/>
      <c r="F27" s="69"/>
      <c r="G27" s="69"/>
      <c r="H27" s="11"/>
    </row>
    <row r="28" spans="1:8" s="15" customFormat="1" ht="28.5" customHeight="1" x14ac:dyDescent="0.15">
      <c r="A28" s="109" t="s">
        <v>396</v>
      </c>
      <c r="B28" s="110"/>
      <c r="C28" s="110"/>
      <c r="D28" s="110"/>
      <c r="E28" s="110"/>
      <c r="F28" s="110"/>
      <c r="G28" s="110"/>
      <c r="H28" s="110"/>
    </row>
    <row r="29" spans="1:8" s="15" customFormat="1" ht="6" customHeight="1" x14ac:dyDescent="0.3">
      <c r="A29" s="70"/>
      <c r="B29" s="86"/>
      <c r="C29" s="86"/>
      <c r="D29" s="86"/>
      <c r="E29" s="86"/>
      <c r="F29" s="86"/>
      <c r="G29" s="86"/>
      <c r="H29" s="71"/>
    </row>
    <row r="30" spans="1:8" s="15" customFormat="1" ht="31" customHeight="1" x14ac:dyDescent="0.15">
      <c r="A30" s="109" t="s">
        <v>761</v>
      </c>
      <c r="B30" s="107"/>
      <c r="C30" s="107"/>
      <c r="D30" s="107"/>
      <c r="E30" s="107"/>
      <c r="F30" s="107"/>
      <c r="G30" s="107"/>
    </row>
    <row r="31" spans="1:8" s="15" customFormat="1" ht="24.5" customHeight="1" x14ac:dyDescent="0.15">
      <c r="B31" s="87"/>
      <c r="C31" s="78"/>
      <c r="D31" s="79"/>
      <c r="E31" s="80"/>
      <c r="F31" s="80"/>
      <c r="G31" s="80"/>
    </row>
    <row r="32" spans="1:8" s="15" customFormat="1" ht="14" x14ac:dyDescent="0.15">
      <c r="A32" s="103"/>
      <c r="B32" s="104"/>
      <c r="C32" s="78"/>
      <c r="D32" s="79"/>
      <c r="E32" s="80"/>
      <c r="F32" s="80"/>
      <c r="G32" s="80"/>
    </row>
    <row r="33" spans="1:7" s="15" customFormat="1" ht="14" x14ac:dyDescent="0.15">
      <c r="A33" s="103"/>
      <c r="B33" s="104"/>
      <c r="C33" s="78"/>
      <c r="D33" s="79"/>
      <c r="E33" s="80"/>
      <c r="F33" s="80"/>
      <c r="G33" s="80"/>
    </row>
    <row r="34" spans="1:7" s="15" customFormat="1" ht="14" x14ac:dyDescent="0.15">
      <c r="A34" s="103"/>
      <c r="B34" s="104"/>
      <c r="C34" s="78"/>
      <c r="D34" s="79"/>
      <c r="E34" s="80"/>
      <c r="F34" s="80"/>
      <c r="G34" s="80"/>
    </row>
    <row r="35" spans="1:7" s="15" customFormat="1" ht="14" x14ac:dyDescent="0.15">
      <c r="A35" s="103"/>
      <c r="B35" s="104"/>
      <c r="C35" s="78"/>
      <c r="D35" s="79"/>
      <c r="E35" s="80"/>
      <c r="F35" s="80"/>
      <c r="G35" s="80"/>
    </row>
    <row r="36" spans="1:7" s="15" customFormat="1" ht="14" x14ac:dyDescent="0.15">
      <c r="A36" s="103"/>
      <c r="B36" s="104"/>
      <c r="C36" s="78"/>
      <c r="D36" s="79"/>
      <c r="E36" s="80"/>
      <c r="F36" s="80"/>
      <c r="G36" s="80"/>
    </row>
    <row r="37" spans="1:7" s="15" customFormat="1" ht="14" x14ac:dyDescent="0.15">
      <c r="A37" s="103"/>
      <c r="B37" s="104"/>
      <c r="C37" s="78"/>
      <c r="D37" s="79"/>
      <c r="E37" s="80"/>
      <c r="F37" s="80"/>
      <c r="G37" s="80"/>
    </row>
    <row r="38" spans="1:7" s="15" customFormat="1" ht="14" x14ac:dyDescent="0.15">
      <c r="A38" s="103"/>
      <c r="B38" s="104"/>
      <c r="C38" s="78"/>
      <c r="D38" s="79"/>
      <c r="E38" s="80"/>
      <c r="F38" s="80"/>
      <c r="G38" s="80"/>
    </row>
    <row r="39" spans="1:7" s="15" customFormat="1" ht="14" x14ac:dyDescent="0.15">
      <c r="A39" s="103"/>
      <c r="B39" s="104"/>
      <c r="C39" s="78"/>
      <c r="D39" s="79"/>
      <c r="E39" s="80"/>
      <c r="F39" s="80"/>
      <c r="G39" s="80"/>
    </row>
    <row r="40" spans="1:7" s="15" customFormat="1" ht="14" x14ac:dyDescent="0.15">
      <c r="A40" s="103"/>
      <c r="B40" s="104"/>
      <c r="C40" s="78"/>
      <c r="D40" s="79"/>
      <c r="E40" s="80"/>
      <c r="F40" s="80"/>
      <c r="G40" s="80"/>
    </row>
    <row r="41" spans="1:7" s="15" customFormat="1" ht="14" x14ac:dyDescent="0.15">
      <c r="A41" s="103"/>
      <c r="B41" s="104"/>
      <c r="C41" s="78"/>
      <c r="D41" s="79"/>
      <c r="E41" s="80"/>
      <c r="F41" s="80"/>
      <c r="G41" s="80"/>
    </row>
    <row r="42" spans="1:7" s="15" customFormat="1" ht="30" x14ac:dyDescent="0.3">
      <c r="A42" s="55" t="s">
        <v>397</v>
      </c>
      <c r="B42" s="88"/>
      <c r="C42" s="78"/>
      <c r="D42" s="79"/>
      <c r="E42" s="80"/>
      <c r="F42" s="80"/>
      <c r="G42" s="80"/>
    </row>
    <row r="43" spans="1:7" s="15" customFormat="1" ht="14" x14ac:dyDescent="0.15">
      <c r="A43" s="103"/>
      <c r="B43" s="104"/>
      <c r="C43" s="78"/>
      <c r="D43" s="79"/>
      <c r="E43" s="80"/>
      <c r="F43" s="80"/>
      <c r="G43" s="80"/>
    </row>
    <row r="44" spans="1:7" s="15" customFormat="1" ht="14" x14ac:dyDescent="0.15">
      <c r="A44" s="103"/>
      <c r="B44" s="104"/>
      <c r="C44" s="78"/>
      <c r="D44" s="79"/>
      <c r="E44" s="80"/>
      <c r="F44" s="80"/>
      <c r="G44" s="80"/>
    </row>
    <row r="45" spans="1:7" s="15" customFormat="1" ht="14" x14ac:dyDescent="0.15">
      <c r="A45" s="103"/>
      <c r="B45" s="104"/>
      <c r="C45" s="78"/>
      <c r="D45" s="79"/>
      <c r="E45" s="80"/>
      <c r="F45" s="80"/>
      <c r="G45" s="80"/>
    </row>
    <row r="46" spans="1:7" s="15" customFormat="1" ht="14" x14ac:dyDescent="0.15">
      <c r="A46" s="103"/>
      <c r="B46" s="104"/>
      <c r="C46" s="78"/>
      <c r="D46" s="79"/>
      <c r="E46" s="80"/>
      <c r="F46" s="80"/>
      <c r="G46" s="80"/>
    </row>
    <row r="47" spans="1:7" s="15" customFormat="1" ht="14" x14ac:dyDescent="0.15">
      <c r="A47" s="103"/>
      <c r="B47" s="104"/>
      <c r="C47" s="78"/>
      <c r="D47" s="79"/>
      <c r="E47" s="80"/>
      <c r="F47" s="80"/>
      <c r="G47" s="80"/>
    </row>
    <row r="48" spans="1:7" s="15" customFormat="1" ht="14" x14ac:dyDescent="0.15">
      <c r="A48" s="103"/>
      <c r="B48" s="104"/>
      <c r="C48" s="78"/>
      <c r="D48" s="79"/>
      <c r="E48" s="80"/>
      <c r="F48" s="80"/>
      <c r="G48" s="80"/>
    </row>
    <row r="49" spans="1:7" s="15" customFormat="1" ht="14" x14ac:dyDescent="0.15">
      <c r="A49" s="103"/>
      <c r="B49" s="104"/>
      <c r="C49" s="78"/>
      <c r="D49" s="79"/>
      <c r="E49" s="80"/>
      <c r="F49" s="80"/>
      <c r="G49" s="80"/>
    </row>
    <row r="50" spans="1:7" s="15" customFormat="1" ht="14" x14ac:dyDescent="0.15">
      <c r="A50" s="103"/>
      <c r="B50" s="104"/>
      <c r="C50" s="78"/>
      <c r="D50" s="79"/>
      <c r="E50" s="80"/>
      <c r="F50" s="80"/>
      <c r="G50" s="80"/>
    </row>
    <row r="51" spans="1:7" s="15" customFormat="1" ht="14" x14ac:dyDescent="0.15">
      <c r="A51" s="103"/>
      <c r="B51" s="104"/>
      <c r="C51" s="78"/>
      <c r="D51" s="79"/>
      <c r="E51" s="80"/>
      <c r="F51" s="80"/>
      <c r="G51" s="80"/>
    </row>
    <row r="52" spans="1:7" s="15" customFormat="1" ht="14" x14ac:dyDescent="0.15">
      <c r="A52" s="103"/>
      <c r="B52" s="104"/>
      <c r="C52" s="78"/>
      <c r="D52" s="79"/>
      <c r="E52" s="80"/>
      <c r="F52" s="80"/>
      <c r="G52" s="80"/>
    </row>
    <row r="53" spans="1:7" s="15" customFormat="1" ht="14" x14ac:dyDescent="0.15">
      <c r="A53" s="103"/>
      <c r="B53" s="104"/>
      <c r="C53" s="78"/>
      <c r="D53" s="79"/>
      <c r="E53" s="80"/>
      <c r="F53" s="80"/>
      <c r="G53" s="89"/>
    </row>
    <row r="54" spans="1:7" s="15" customFormat="1" ht="14" x14ac:dyDescent="0.15">
      <c r="A54" s="103"/>
      <c r="B54" s="104"/>
      <c r="C54" s="78"/>
      <c r="D54" s="79"/>
      <c r="E54" s="80"/>
      <c r="F54" s="80"/>
      <c r="G54" s="89"/>
    </row>
    <row r="55" spans="1:7" s="15" customFormat="1" ht="14" x14ac:dyDescent="0.15">
      <c r="A55" s="103"/>
      <c r="B55" s="104"/>
      <c r="C55" s="78"/>
      <c r="D55" s="79"/>
      <c r="E55" s="80"/>
      <c r="F55" s="80"/>
      <c r="G55" s="89"/>
    </row>
    <row r="56" spans="1:7" s="15" customFormat="1" ht="14" x14ac:dyDescent="0.15">
      <c r="A56" s="103"/>
      <c r="B56" s="104"/>
      <c r="C56" s="78"/>
      <c r="D56" s="79"/>
      <c r="E56" s="80"/>
      <c r="F56" s="80"/>
      <c r="G56" s="89"/>
    </row>
    <row r="57" spans="1:7" s="15" customFormat="1" ht="14" x14ac:dyDescent="0.15">
      <c r="A57" s="103"/>
      <c r="B57" s="104"/>
      <c r="C57" s="78"/>
      <c r="D57" s="90"/>
      <c r="E57" s="90"/>
      <c r="F57" s="90"/>
      <c r="G57" s="89"/>
    </row>
    <row r="58" spans="1:7" s="15" customFormat="1" ht="14" x14ac:dyDescent="0.15">
      <c r="A58" s="103"/>
      <c r="B58" s="104"/>
      <c r="C58" s="78"/>
      <c r="D58" s="90"/>
      <c r="E58" s="90"/>
      <c r="F58" s="90"/>
      <c r="G58" s="91"/>
    </row>
    <row r="59" spans="1:7" s="15" customFormat="1" ht="14" x14ac:dyDescent="0.15">
      <c r="A59" s="54"/>
      <c r="B59" s="83"/>
      <c r="C59" s="78"/>
      <c r="D59" s="90"/>
      <c r="E59" s="90"/>
      <c r="F59" s="90"/>
      <c r="G59" s="91"/>
    </row>
    <row r="60" spans="1:7" s="15" customFormat="1" ht="14" x14ac:dyDescent="0.15">
      <c r="A60" s="54"/>
      <c r="B60" s="83"/>
      <c r="C60" s="78"/>
      <c r="D60" s="90"/>
      <c r="E60" s="90"/>
      <c r="F60" s="90"/>
      <c r="G60" s="91"/>
    </row>
    <row r="61" spans="1:7" s="15" customFormat="1" ht="14" x14ac:dyDescent="0.15">
      <c r="A61" s="54"/>
      <c r="B61" s="83"/>
      <c r="C61" s="78"/>
      <c r="D61" s="90"/>
      <c r="E61" s="90"/>
      <c r="F61" s="90"/>
      <c r="G61" s="91"/>
    </row>
    <row r="62" spans="1:7" s="15" customFormat="1" ht="14" x14ac:dyDescent="0.15">
      <c r="A62" s="103"/>
      <c r="B62" s="104"/>
      <c r="C62" s="78"/>
      <c r="D62" s="90"/>
      <c r="E62" s="90"/>
      <c r="F62" s="90"/>
      <c r="G62" s="91"/>
    </row>
    <row r="63" spans="1:7" s="15" customFormat="1" ht="14" x14ac:dyDescent="0.15">
      <c r="A63" s="103"/>
      <c r="B63" s="104"/>
      <c r="C63" s="78"/>
      <c r="D63" s="79"/>
      <c r="E63" s="80"/>
      <c r="F63" s="80"/>
      <c r="G63" s="80"/>
    </row>
    <row r="64" spans="1:7" s="15" customFormat="1" ht="14" x14ac:dyDescent="0.15">
      <c r="A64" s="54"/>
      <c r="B64" s="83"/>
      <c r="C64" s="78"/>
      <c r="D64" s="79"/>
      <c r="E64" s="80"/>
      <c r="F64" s="80"/>
      <c r="G64" s="80"/>
    </row>
    <row r="65" spans="1:8" s="15" customFormat="1" ht="14" x14ac:dyDescent="0.15">
      <c r="A65" s="54"/>
      <c r="B65" s="83"/>
      <c r="C65" s="78"/>
      <c r="D65" s="79"/>
      <c r="E65" s="80"/>
      <c r="F65" s="80"/>
      <c r="G65" s="80"/>
      <c r="H65" s="11"/>
    </row>
    <row r="66" spans="1:8" s="15" customFormat="1" ht="14" x14ac:dyDescent="0.15">
      <c r="A66" s="54"/>
      <c r="B66" s="92"/>
      <c r="C66" s="78"/>
      <c r="D66" s="79"/>
      <c r="E66" s="80"/>
      <c r="F66" s="80"/>
      <c r="G66" s="80"/>
      <c r="H66" s="11"/>
    </row>
    <row r="67" spans="1:8" s="15" customFormat="1" ht="14" x14ac:dyDescent="0.15">
      <c r="A67" s="31"/>
      <c r="B67" s="93" t="s">
        <v>400</v>
      </c>
      <c r="C67" s="78"/>
      <c r="D67" s="79"/>
      <c r="E67" s="80"/>
      <c r="F67" s="80"/>
      <c r="G67" s="91"/>
      <c r="H67" s="14"/>
    </row>
    <row r="68" spans="1:8" s="15" customFormat="1" x14ac:dyDescent="0.15">
      <c r="A68" s="31"/>
      <c r="B68" s="81"/>
      <c r="C68" s="78"/>
      <c r="D68" s="79"/>
      <c r="E68" s="80"/>
      <c r="F68" s="80"/>
      <c r="G68" s="91"/>
      <c r="H68" s="14"/>
    </row>
    <row r="69" spans="1:8" s="14" customFormat="1" ht="116.5" customHeight="1" x14ac:dyDescent="0.15">
      <c r="A69" s="115" t="s">
        <v>825</v>
      </c>
      <c r="B69" s="116"/>
      <c r="C69" s="116"/>
      <c r="D69" s="116"/>
      <c r="E69" s="116"/>
      <c r="F69" s="116"/>
      <c r="G69" s="116"/>
    </row>
    <row r="70" spans="1:8" s="14" customFormat="1" ht="14" x14ac:dyDescent="0.15">
      <c r="A70" s="31"/>
      <c r="B70" s="94"/>
      <c r="C70" s="95"/>
      <c r="D70" s="96"/>
      <c r="E70" s="97"/>
      <c r="F70" s="97"/>
      <c r="G70" s="97"/>
    </row>
    <row r="71" spans="1:8" s="14" customFormat="1" ht="13" customHeight="1" x14ac:dyDescent="0.15">
      <c r="A71" s="73" t="s">
        <v>408</v>
      </c>
      <c r="B71" s="111" t="s">
        <v>762</v>
      </c>
      <c r="C71" s="112"/>
      <c r="D71" s="112"/>
      <c r="E71" s="112"/>
      <c r="F71" s="112"/>
      <c r="G71" s="112"/>
    </row>
    <row r="72" spans="1:8" s="14" customFormat="1" ht="13" customHeight="1" x14ac:dyDescent="0.15">
      <c r="A72" s="73"/>
      <c r="B72" s="74"/>
      <c r="C72" s="72"/>
      <c r="D72" s="72"/>
      <c r="E72" s="72"/>
      <c r="F72" s="72"/>
      <c r="G72" s="72"/>
    </row>
    <row r="73" spans="1:8" s="14" customFormat="1" ht="14.25" customHeight="1" x14ac:dyDescent="0.15">
      <c r="A73" s="73" t="s">
        <v>409</v>
      </c>
      <c r="B73" s="111" t="s">
        <v>754</v>
      </c>
      <c r="C73" s="111"/>
      <c r="D73" s="111"/>
      <c r="E73" s="111"/>
      <c r="F73" s="111"/>
      <c r="G73" s="111"/>
      <c r="H73" s="11"/>
    </row>
    <row r="74" spans="1:8" s="14" customFormat="1" ht="14" x14ac:dyDescent="0.15">
      <c r="A74" s="73"/>
      <c r="B74" s="98"/>
      <c r="C74" s="95"/>
      <c r="D74" s="96"/>
      <c r="E74" s="97"/>
      <c r="F74" s="97"/>
      <c r="G74" s="97"/>
      <c r="H74" s="11"/>
    </row>
    <row r="75" spans="1:8" s="14" customFormat="1" ht="34.5" customHeight="1" x14ac:dyDescent="0.15">
      <c r="A75" s="73" t="s">
        <v>410</v>
      </c>
      <c r="B75" s="111" t="s">
        <v>403</v>
      </c>
      <c r="C75" s="112"/>
      <c r="D75" s="112"/>
      <c r="E75" s="112"/>
      <c r="F75" s="112"/>
      <c r="G75" s="112"/>
      <c r="H75" s="11"/>
    </row>
    <row r="76" spans="1:8" s="14" customFormat="1" ht="14" x14ac:dyDescent="0.15">
      <c r="A76" s="73"/>
      <c r="B76" s="98"/>
      <c r="C76" s="95"/>
      <c r="D76" s="96"/>
      <c r="E76" s="97"/>
      <c r="F76" s="97"/>
      <c r="G76" s="97"/>
      <c r="H76" s="11"/>
    </row>
    <row r="77" spans="1:8" s="14" customFormat="1" ht="51" customHeight="1" x14ac:dyDescent="0.15">
      <c r="A77" s="73" t="s">
        <v>411</v>
      </c>
      <c r="B77" s="113" t="s">
        <v>404</v>
      </c>
      <c r="C77" s="114"/>
      <c r="D77" s="114"/>
      <c r="E77" s="114"/>
      <c r="F77" s="114"/>
      <c r="G77" s="114"/>
      <c r="H77" s="11"/>
    </row>
    <row r="78" spans="1:8" s="14" customFormat="1" ht="14" x14ac:dyDescent="0.15">
      <c r="A78" s="73"/>
      <c r="B78" s="98"/>
      <c r="C78" s="95"/>
      <c r="D78" s="96"/>
      <c r="E78" s="97"/>
      <c r="F78" s="97"/>
      <c r="G78" s="97"/>
      <c r="H78" s="11"/>
    </row>
    <row r="79" spans="1:8" s="14" customFormat="1" ht="50.5" customHeight="1" x14ac:dyDescent="0.15">
      <c r="A79" s="73" t="s">
        <v>412</v>
      </c>
      <c r="B79" s="111" t="s">
        <v>405</v>
      </c>
      <c r="C79" s="112"/>
      <c r="D79" s="112"/>
      <c r="E79" s="112"/>
      <c r="F79" s="112"/>
      <c r="G79" s="112"/>
      <c r="H79" s="11"/>
    </row>
    <row r="80" spans="1:8" s="14" customFormat="1" ht="14" x14ac:dyDescent="0.15">
      <c r="A80" s="73"/>
      <c r="B80" s="98"/>
      <c r="C80" s="95"/>
      <c r="D80" s="96"/>
      <c r="E80" s="97"/>
      <c r="F80" s="97"/>
      <c r="G80" s="97"/>
      <c r="H80" s="11"/>
    </row>
    <row r="81" spans="1:8" s="14" customFormat="1" ht="34" customHeight="1" x14ac:dyDescent="0.15">
      <c r="A81" s="73" t="s">
        <v>413</v>
      </c>
      <c r="B81" s="111" t="s">
        <v>406</v>
      </c>
      <c r="C81" s="112"/>
      <c r="D81" s="112"/>
      <c r="E81" s="112"/>
      <c r="F81" s="112"/>
      <c r="G81" s="112"/>
      <c r="H81" s="11"/>
    </row>
    <row r="82" spans="1:8" s="14" customFormat="1" ht="14.25" customHeight="1" x14ac:dyDescent="0.15">
      <c r="A82" s="101"/>
      <c r="B82" s="74"/>
      <c r="C82" s="72"/>
      <c r="D82" s="72"/>
      <c r="E82" s="72"/>
      <c r="F82" s="72"/>
      <c r="G82" s="72"/>
      <c r="H82" s="11"/>
    </row>
    <row r="83" spans="1:8" s="14" customFormat="1" ht="47.5" customHeight="1" x14ac:dyDescent="0.15">
      <c r="A83" s="73" t="s">
        <v>414</v>
      </c>
      <c r="B83" s="113" t="s">
        <v>407</v>
      </c>
      <c r="C83" s="114"/>
      <c r="D83" s="114"/>
      <c r="E83" s="114"/>
      <c r="F83" s="114"/>
      <c r="G83" s="114"/>
      <c r="H83" s="11"/>
    </row>
    <row r="84" spans="1:8" s="14" customFormat="1" ht="14" x14ac:dyDescent="0.15">
      <c r="A84" s="31"/>
      <c r="B84" s="94"/>
      <c r="C84" s="95"/>
      <c r="D84" s="96"/>
      <c r="E84" s="97"/>
      <c r="F84" s="97"/>
      <c r="G84" s="97"/>
      <c r="H84" s="11"/>
    </row>
    <row r="85" spans="1:8" s="14" customFormat="1" ht="23.5" customHeight="1" x14ac:dyDescent="0.15">
      <c r="A85" s="102" t="s">
        <v>755</v>
      </c>
      <c r="B85" s="111" t="s">
        <v>756</v>
      </c>
      <c r="C85" s="112"/>
      <c r="D85" s="112"/>
      <c r="E85" s="112"/>
      <c r="F85" s="112"/>
      <c r="G85" s="112"/>
      <c r="H85" s="11"/>
    </row>
    <row r="86" spans="1:8" s="14" customFormat="1" ht="54" customHeight="1" x14ac:dyDescent="0.15">
      <c r="A86" s="31"/>
      <c r="B86" s="94"/>
      <c r="C86" s="95"/>
      <c r="D86" s="96"/>
      <c r="E86" s="97"/>
      <c r="F86" s="97"/>
      <c r="G86" s="97"/>
      <c r="H86" s="11"/>
    </row>
    <row r="87" spans="1:8" s="15" customFormat="1" x14ac:dyDescent="0.15">
      <c r="A87" s="31"/>
      <c r="B87" s="81"/>
      <c r="C87" s="78"/>
      <c r="D87" s="79"/>
      <c r="E87" s="80"/>
      <c r="F87" s="80"/>
      <c r="G87" s="80"/>
      <c r="H87" s="11"/>
    </row>
    <row r="88" spans="1:8" s="15" customFormat="1" ht="34.5" customHeight="1" x14ac:dyDescent="0.15">
      <c r="A88" s="31"/>
      <c r="B88" s="81"/>
      <c r="C88" s="78"/>
      <c r="D88" s="79"/>
      <c r="E88" s="80"/>
      <c r="F88" s="80"/>
      <c r="G88" s="80"/>
      <c r="H88" s="11"/>
    </row>
    <row r="89" spans="1:8" s="15" customFormat="1" x14ac:dyDescent="0.15">
      <c r="A89" s="31"/>
      <c r="B89" s="81"/>
      <c r="C89" s="78"/>
      <c r="D89" s="79"/>
      <c r="E89" s="80"/>
      <c r="F89" s="80"/>
      <c r="G89" s="80"/>
      <c r="H89" s="11"/>
    </row>
    <row r="90" spans="1:8" s="15" customFormat="1" x14ac:dyDescent="0.15">
      <c r="A90" s="31"/>
      <c r="B90" s="81"/>
      <c r="C90" s="78"/>
      <c r="D90" s="79"/>
      <c r="E90" s="80"/>
      <c r="F90" s="80"/>
      <c r="G90" s="80"/>
    </row>
    <row r="91" spans="1:8" s="15" customFormat="1" x14ac:dyDescent="0.15">
      <c r="A91" s="31"/>
      <c r="B91" s="81"/>
      <c r="C91" s="78"/>
      <c r="D91" s="79"/>
      <c r="E91" s="80"/>
      <c r="F91" s="80"/>
      <c r="G91" s="80"/>
    </row>
    <row r="92" spans="1:8" s="15" customFormat="1" x14ac:dyDescent="0.15">
      <c r="A92" s="31"/>
      <c r="B92" s="81"/>
      <c r="C92" s="78"/>
      <c r="D92" s="79"/>
      <c r="E92" s="80"/>
      <c r="F92" s="80"/>
      <c r="G92" s="80"/>
    </row>
    <row r="93" spans="1:8" s="15" customFormat="1" x14ac:dyDescent="0.15">
      <c r="A93" s="31"/>
      <c r="B93" s="81"/>
      <c r="C93" s="78"/>
      <c r="D93" s="79"/>
      <c r="E93" s="80"/>
      <c r="F93" s="80"/>
      <c r="G93" s="80"/>
    </row>
    <row r="94" spans="1:8" s="15" customFormat="1" x14ac:dyDescent="0.15">
      <c r="A94" s="31"/>
      <c r="B94" s="81"/>
      <c r="C94" s="78"/>
      <c r="D94" s="79"/>
      <c r="E94" s="80"/>
      <c r="F94" s="80"/>
      <c r="G94" s="80"/>
    </row>
    <row r="95" spans="1:8" s="15" customFormat="1" x14ac:dyDescent="0.15">
      <c r="A95" s="31"/>
      <c r="B95" s="81"/>
      <c r="C95" s="78"/>
      <c r="D95" s="79"/>
      <c r="E95" s="80"/>
      <c r="F95" s="80"/>
      <c r="G95" s="80"/>
    </row>
    <row r="96" spans="1:8" s="15" customFormat="1" x14ac:dyDescent="0.15">
      <c r="A96" s="31"/>
      <c r="B96" s="81"/>
      <c r="C96" s="78"/>
      <c r="D96" s="79"/>
      <c r="E96" s="80"/>
      <c r="F96" s="80"/>
      <c r="G96" s="80"/>
    </row>
    <row r="97" spans="1:7" s="15" customFormat="1" x14ac:dyDescent="0.15">
      <c r="A97" s="31"/>
      <c r="B97" s="81"/>
      <c r="C97" s="78"/>
      <c r="D97" s="79"/>
      <c r="E97" s="80"/>
      <c r="F97" s="80"/>
      <c r="G97" s="80"/>
    </row>
    <row r="98" spans="1:7" s="15" customFormat="1" x14ac:dyDescent="0.15">
      <c r="A98" s="31"/>
      <c r="B98" s="81"/>
      <c r="C98" s="78"/>
      <c r="D98" s="79"/>
      <c r="E98" s="80"/>
      <c r="F98" s="80"/>
      <c r="G98" s="80"/>
    </row>
    <row r="99" spans="1:7" s="15" customFormat="1" x14ac:dyDescent="0.15">
      <c r="A99" s="31"/>
      <c r="B99" s="81"/>
      <c r="C99" s="78"/>
      <c r="D99" s="79"/>
      <c r="E99" s="80"/>
      <c r="F99" s="80"/>
      <c r="G99" s="80"/>
    </row>
    <row r="100" spans="1:7" s="15" customFormat="1" x14ac:dyDescent="0.15">
      <c r="A100" s="31"/>
      <c r="B100" s="81"/>
      <c r="C100" s="78"/>
      <c r="D100" s="79"/>
      <c r="E100" s="80"/>
      <c r="F100" s="80"/>
      <c r="G100" s="80"/>
    </row>
    <row r="101" spans="1:7" s="15" customFormat="1" x14ac:dyDescent="0.15">
      <c r="A101" s="31"/>
      <c r="B101" s="81"/>
      <c r="C101" s="78"/>
      <c r="D101" s="79"/>
      <c r="E101" s="80"/>
      <c r="F101" s="80"/>
      <c r="G101" s="80"/>
    </row>
    <row r="102" spans="1:7" s="15" customFormat="1" x14ac:dyDescent="0.15">
      <c r="A102" s="31"/>
      <c r="B102" s="81"/>
      <c r="C102" s="78"/>
      <c r="D102" s="79"/>
      <c r="E102" s="80"/>
      <c r="F102" s="80"/>
      <c r="G102" s="80"/>
    </row>
    <row r="103" spans="1:7" s="15" customFormat="1" x14ac:dyDescent="0.15">
      <c r="A103" s="31"/>
      <c r="B103" s="81"/>
      <c r="C103" s="78"/>
      <c r="D103" s="79"/>
      <c r="E103" s="80"/>
      <c r="F103" s="80"/>
      <c r="G103" s="80"/>
    </row>
    <row r="104" spans="1:7" s="15" customFormat="1" x14ac:dyDescent="0.15">
      <c r="A104" s="31"/>
      <c r="B104" s="81"/>
      <c r="C104" s="78"/>
      <c r="D104" s="79"/>
      <c r="E104" s="80"/>
      <c r="F104" s="80"/>
      <c r="G104" s="80"/>
    </row>
    <row r="105" spans="1:7" s="15" customFormat="1" x14ac:dyDescent="0.15">
      <c r="A105" s="31"/>
      <c r="B105" s="81"/>
      <c r="C105" s="78"/>
      <c r="D105" s="79"/>
      <c r="E105" s="80"/>
      <c r="F105" s="80"/>
      <c r="G105" s="80"/>
    </row>
    <row r="106" spans="1:7" s="15" customFormat="1" x14ac:dyDescent="0.15">
      <c r="A106" s="31"/>
      <c r="B106" s="81"/>
      <c r="C106" s="78"/>
      <c r="D106" s="79"/>
      <c r="E106" s="80"/>
      <c r="F106" s="80"/>
      <c r="G106" s="80"/>
    </row>
    <row r="107" spans="1:7" s="15" customFormat="1" x14ac:dyDescent="0.15">
      <c r="A107" s="31"/>
      <c r="B107" s="81"/>
      <c r="C107" s="78"/>
      <c r="D107" s="79"/>
      <c r="E107" s="80"/>
      <c r="F107" s="80"/>
      <c r="G107" s="80"/>
    </row>
    <row r="108" spans="1:7" s="15" customFormat="1" x14ac:dyDescent="0.15">
      <c r="A108" s="31"/>
      <c r="B108" s="81"/>
      <c r="C108" s="78"/>
      <c r="D108" s="79"/>
      <c r="E108" s="80"/>
      <c r="F108" s="80"/>
      <c r="G108" s="80"/>
    </row>
    <row r="109" spans="1:7" s="15" customFormat="1" x14ac:dyDescent="0.15">
      <c r="A109" s="31"/>
      <c r="B109" s="81"/>
      <c r="C109" s="78"/>
      <c r="D109" s="79"/>
      <c r="E109" s="80"/>
      <c r="F109" s="80"/>
      <c r="G109" s="80"/>
    </row>
    <row r="110" spans="1:7" s="15" customFormat="1" x14ac:dyDescent="0.15">
      <c r="A110" s="31"/>
      <c r="B110" s="81"/>
      <c r="C110" s="78"/>
      <c r="D110" s="79"/>
      <c r="E110" s="80"/>
      <c r="F110" s="80"/>
      <c r="G110" s="80"/>
    </row>
    <row r="111" spans="1:7" s="15" customFormat="1" x14ac:dyDescent="0.15">
      <c r="A111" s="31"/>
      <c r="B111" s="81"/>
      <c r="C111" s="78"/>
      <c r="D111" s="79"/>
      <c r="E111" s="80"/>
      <c r="F111" s="80"/>
      <c r="G111" s="80"/>
    </row>
    <row r="112" spans="1:7" s="15" customFormat="1" x14ac:dyDescent="0.15">
      <c r="A112" s="31"/>
      <c r="B112" s="81"/>
      <c r="C112" s="78"/>
      <c r="D112" s="79"/>
      <c r="E112" s="80"/>
      <c r="F112" s="80"/>
      <c r="G112" s="80"/>
    </row>
    <row r="113" spans="1:8" s="15" customFormat="1" x14ac:dyDescent="0.15">
      <c r="A113" s="31"/>
      <c r="B113" s="81"/>
      <c r="C113" s="78"/>
      <c r="D113" s="79"/>
      <c r="E113" s="80"/>
      <c r="F113" s="80"/>
      <c r="G113" s="80"/>
    </row>
    <row r="114" spans="1:8" s="15" customFormat="1" x14ac:dyDescent="0.15">
      <c r="A114" s="31"/>
      <c r="B114" s="81"/>
      <c r="C114" s="78"/>
      <c r="D114" s="79"/>
      <c r="E114" s="80"/>
      <c r="F114" s="80"/>
      <c r="G114" s="80"/>
    </row>
    <row r="115" spans="1:8" s="15" customFormat="1" x14ac:dyDescent="0.15">
      <c r="A115" s="31"/>
      <c r="B115" s="81"/>
      <c r="C115" s="78"/>
      <c r="D115" s="79"/>
      <c r="E115" s="80"/>
      <c r="F115" s="80"/>
      <c r="G115" s="80"/>
    </row>
    <row r="116" spans="1:8" s="15" customFormat="1" x14ac:dyDescent="0.15">
      <c r="A116" s="31"/>
      <c r="B116" s="81"/>
      <c r="C116" s="78"/>
      <c r="D116" s="79"/>
      <c r="E116" s="80"/>
      <c r="F116" s="80"/>
      <c r="G116" s="80"/>
    </row>
    <row r="117" spans="1:8" s="15" customFormat="1" x14ac:dyDescent="0.15">
      <c r="A117" s="31"/>
      <c r="B117" s="81"/>
      <c r="C117" s="78"/>
      <c r="D117" s="79"/>
      <c r="E117" s="80"/>
      <c r="F117" s="80"/>
      <c r="G117" s="80"/>
    </row>
    <row r="118" spans="1:8" s="15" customFormat="1" x14ac:dyDescent="0.15">
      <c r="A118" s="31"/>
      <c r="B118" s="81"/>
      <c r="C118" s="78"/>
      <c r="D118" s="79"/>
      <c r="E118" s="80"/>
      <c r="F118" s="80"/>
      <c r="G118" s="80"/>
    </row>
    <row r="119" spans="1:8" s="15" customFormat="1" x14ac:dyDescent="0.15">
      <c r="A119" s="31"/>
      <c r="B119" s="81"/>
      <c r="C119" s="78"/>
      <c r="D119" s="79"/>
      <c r="E119" s="80"/>
      <c r="F119" s="80"/>
      <c r="G119" s="80"/>
    </row>
    <row r="120" spans="1:8" s="15" customFormat="1" x14ac:dyDescent="0.15">
      <c r="A120" s="31"/>
      <c r="B120" s="81"/>
      <c r="C120" s="78"/>
      <c r="D120" s="79"/>
      <c r="E120" s="80"/>
      <c r="F120" s="80"/>
      <c r="G120" s="80"/>
    </row>
    <row r="121" spans="1:8" s="15" customFormat="1" x14ac:dyDescent="0.15">
      <c r="A121" s="31"/>
      <c r="B121" s="81"/>
      <c r="C121" s="78"/>
      <c r="D121" s="79"/>
      <c r="E121" s="80"/>
      <c r="F121" s="80"/>
      <c r="G121" s="80"/>
    </row>
    <row r="122" spans="1:8" s="15" customFormat="1" x14ac:dyDescent="0.15">
      <c r="A122" s="31"/>
      <c r="B122" s="81"/>
      <c r="C122" s="78"/>
      <c r="D122" s="79"/>
      <c r="E122" s="80"/>
      <c r="F122" s="80"/>
      <c r="G122" s="80"/>
      <c r="H122" s="11"/>
    </row>
    <row r="123" spans="1:8" s="15" customFormat="1" x14ac:dyDescent="0.15">
      <c r="A123" s="31"/>
      <c r="B123" s="81"/>
      <c r="C123" s="78"/>
      <c r="D123" s="79"/>
      <c r="E123" s="80"/>
      <c r="F123" s="80"/>
      <c r="G123" s="80"/>
      <c r="H123" s="11"/>
    </row>
    <row r="124" spans="1:8" s="15" customFormat="1" x14ac:dyDescent="0.15">
      <c r="A124" s="31"/>
      <c r="B124" s="81"/>
      <c r="C124" s="78"/>
      <c r="D124" s="79"/>
      <c r="E124" s="80"/>
      <c r="F124" s="80"/>
      <c r="G124" s="80"/>
      <c r="H124" s="11"/>
    </row>
    <row r="125" spans="1:8" s="15" customFormat="1" x14ac:dyDescent="0.15">
      <c r="A125" s="31"/>
      <c r="B125" s="81"/>
      <c r="C125" s="78"/>
      <c r="D125" s="79"/>
      <c r="E125" s="80"/>
      <c r="F125" s="80"/>
      <c r="G125" s="80"/>
      <c r="H125" s="11"/>
    </row>
    <row r="126" spans="1:8" s="15" customFormat="1" x14ac:dyDescent="0.15">
      <c r="A126" s="31"/>
      <c r="B126" s="81"/>
      <c r="C126" s="78"/>
      <c r="D126" s="79"/>
      <c r="E126" s="80"/>
      <c r="F126" s="80"/>
      <c r="G126" s="80"/>
      <c r="H126" s="11"/>
    </row>
    <row r="127" spans="1:8" s="15" customFormat="1" x14ac:dyDescent="0.15">
      <c r="A127" s="31"/>
      <c r="B127" s="81"/>
      <c r="C127" s="78"/>
      <c r="D127" s="79"/>
      <c r="E127" s="80"/>
      <c r="F127" s="80"/>
      <c r="G127" s="80"/>
      <c r="H127" s="11"/>
    </row>
    <row r="128" spans="1:8" s="15" customFormat="1" x14ac:dyDescent="0.15">
      <c r="A128" s="31"/>
      <c r="B128" s="81"/>
      <c r="C128" s="78"/>
      <c r="D128" s="79"/>
      <c r="E128" s="80"/>
      <c r="F128" s="80"/>
      <c r="G128" s="80"/>
      <c r="H128" s="11"/>
    </row>
    <row r="129" spans="1:8" s="15" customFormat="1" x14ac:dyDescent="0.15">
      <c r="A129" s="31"/>
      <c r="B129" s="81"/>
      <c r="C129" s="78"/>
      <c r="D129" s="79"/>
      <c r="E129" s="80"/>
      <c r="F129" s="80"/>
      <c r="G129" s="80"/>
      <c r="H129" s="11"/>
    </row>
    <row r="130" spans="1:8" s="15" customFormat="1" x14ac:dyDescent="0.15">
      <c r="A130" s="31"/>
      <c r="B130" s="81"/>
      <c r="C130" s="78"/>
      <c r="D130" s="79"/>
      <c r="E130" s="80"/>
      <c r="F130" s="80"/>
      <c r="G130" s="80"/>
      <c r="H130" s="11"/>
    </row>
    <row r="131" spans="1:8" s="15" customFormat="1" x14ac:dyDescent="0.15">
      <c r="A131" s="31"/>
      <c r="B131" s="81"/>
      <c r="C131" s="78"/>
      <c r="D131" s="79"/>
      <c r="E131" s="80"/>
      <c r="F131" s="80"/>
      <c r="G131" s="80"/>
      <c r="H131" s="11"/>
    </row>
    <row r="132" spans="1:8" s="15" customFormat="1" x14ac:dyDescent="0.15">
      <c r="A132" s="31"/>
      <c r="B132" s="81"/>
      <c r="C132" s="78"/>
      <c r="D132" s="79"/>
      <c r="E132" s="80"/>
      <c r="F132" s="80"/>
      <c r="G132" s="80"/>
      <c r="H132" s="11"/>
    </row>
    <row r="133" spans="1:8" s="15" customFormat="1" x14ac:dyDescent="0.15">
      <c r="A133" s="31"/>
      <c r="B133" s="81"/>
      <c r="C133" s="78"/>
      <c r="D133" s="79"/>
      <c r="E133" s="80"/>
      <c r="F133" s="80"/>
      <c r="G133" s="80"/>
      <c r="H133" s="11"/>
    </row>
    <row r="134" spans="1:8" s="15" customFormat="1" x14ac:dyDescent="0.15">
      <c r="A134" s="31"/>
      <c r="B134" s="81"/>
      <c r="C134" s="78"/>
      <c r="D134" s="79"/>
      <c r="E134" s="80"/>
      <c r="F134" s="80"/>
      <c r="G134" s="80"/>
      <c r="H134" s="11"/>
    </row>
    <row r="135" spans="1:8" s="15" customFormat="1" x14ac:dyDescent="0.15">
      <c r="A135" s="31"/>
      <c r="B135" s="81"/>
      <c r="C135" s="78"/>
      <c r="D135" s="79"/>
      <c r="E135" s="80"/>
      <c r="F135" s="80"/>
      <c r="G135" s="80"/>
      <c r="H135" s="11"/>
    </row>
    <row r="136" spans="1:8" s="15" customFormat="1" x14ac:dyDescent="0.15">
      <c r="A136" s="31"/>
      <c r="B136" s="81"/>
      <c r="C136" s="78"/>
      <c r="D136" s="79"/>
      <c r="E136" s="80"/>
      <c r="F136" s="80"/>
      <c r="G136" s="80"/>
      <c r="H136" s="11"/>
    </row>
    <row r="137" spans="1:8" s="11" customFormat="1" x14ac:dyDescent="0.15">
      <c r="A137" s="31"/>
      <c r="B137" s="81"/>
      <c r="C137" s="78"/>
      <c r="D137" s="79"/>
      <c r="E137" s="80"/>
      <c r="F137" s="80"/>
      <c r="G137" s="80"/>
      <c r="H137" s="14"/>
    </row>
    <row r="138" spans="1:8" s="11" customFormat="1" x14ac:dyDescent="0.15">
      <c r="A138" s="31"/>
      <c r="B138" s="81"/>
      <c r="C138" s="78"/>
      <c r="D138" s="79"/>
      <c r="E138" s="80"/>
      <c r="F138" s="80"/>
      <c r="G138" s="80"/>
      <c r="H138" s="14"/>
    </row>
    <row r="139" spans="1:8" s="11" customFormat="1" x14ac:dyDescent="0.15">
      <c r="A139" s="31"/>
      <c r="B139" s="81"/>
      <c r="C139" s="78"/>
      <c r="D139" s="79"/>
      <c r="E139" s="80"/>
      <c r="F139" s="80"/>
      <c r="G139" s="80"/>
    </row>
    <row r="140" spans="1:8" s="11" customFormat="1" x14ac:dyDescent="0.15">
      <c r="A140" s="31"/>
      <c r="B140" s="81"/>
      <c r="C140" s="78"/>
      <c r="D140" s="79"/>
      <c r="E140" s="80"/>
      <c r="F140" s="80"/>
      <c r="G140" s="80"/>
    </row>
    <row r="141" spans="1:8" s="11" customFormat="1" x14ac:dyDescent="0.15">
      <c r="A141" s="31"/>
      <c r="B141" s="81"/>
      <c r="C141" s="78"/>
      <c r="D141" s="79"/>
      <c r="E141" s="80"/>
      <c r="F141" s="80"/>
      <c r="G141" s="80"/>
    </row>
    <row r="142" spans="1:8" s="11" customFormat="1" x14ac:dyDescent="0.15">
      <c r="A142" s="31"/>
      <c r="B142" s="81"/>
      <c r="C142" s="78"/>
      <c r="D142" s="79"/>
      <c r="E142" s="80"/>
      <c r="F142" s="80"/>
      <c r="G142" s="80"/>
    </row>
    <row r="143" spans="1:8" s="11" customFormat="1" x14ac:dyDescent="0.15">
      <c r="A143" s="31"/>
      <c r="B143" s="81"/>
      <c r="C143" s="78"/>
      <c r="D143" s="79"/>
      <c r="E143" s="80"/>
      <c r="F143" s="80"/>
      <c r="G143" s="80"/>
    </row>
    <row r="144" spans="1:8" s="11" customFormat="1" x14ac:dyDescent="0.15">
      <c r="A144" s="31"/>
      <c r="B144" s="81"/>
      <c r="C144" s="78"/>
      <c r="D144" s="79"/>
      <c r="E144" s="80"/>
      <c r="F144" s="80"/>
      <c r="G144" s="80"/>
    </row>
    <row r="145" spans="1:8" s="11" customFormat="1" x14ac:dyDescent="0.15">
      <c r="A145" s="31"/>
      <c r="B145" s="81"/>
      <c r="C145" s="78"/>
      <c r="D145" s="79"/>
      <c r="E145" s="80"/>
      <c r="F145" s="80"/>
      <c r="G145" s="80"/>
      <c r="H145" s="14"/>
    </row>
    <row r="146" spans="1:8" s="15" customFormat="1" x14ac:dyDescent="0.15">
      <c r="A146" s="31"/>
      <c r="B146" s="81"/>
      <c r="C146" s="78"/>
      <c r="D146" s="79"/>
      <c r="E146" s="80"/>
      <c r="F146" s="80"/>
      <c r="G146" s="80"/>
      <c r="H146" s="14"/>
    </row>
    <row r="147" spans="1:8" s="15" customFormat="1" x14ac:dyDescent="0.15">
      <c r="A147" s="31"/>
      <c r="B147" s="81"/>
      <c r="C147" s="78"/>
      <c r="D147" s="79"/>
      <c r="E147" s="80"/>
      <c r="F147" s="80"/>
      <c r="G147" s="80"/>
      <c r="H147" s="11"/>
    </row>
    <row r="148" spans="1:8" s="15" customFormat="1" x14ac:dyDescent="0.15">
      <c r="A148" s="31"/>
      <c r="B148" s="81"/>
      <c r="C148" s="78"/>
      <c r="D148" s="79"/>
      <c r="E148" s="80"/>
      <c r="F148" s="80"/>
      <c r="G148" s="80"/>
      <c r="H148" s="11"/>
    </row>
    <row r="149" spans="1:8" s="14" customFormat="1" x14ac:dyDescent="0.15">
      <c r="A149" s="31"/>
      <c r="B149" s="81"/>
      <c r="C149" s="78"/>
      <c r="D149" s="79"/>
      <c r="E149" s="80"/>
      <c r="F149" s="80"/>
      <c r="G149" s="80"/>
    </row>
    <row r="150" spans="1:8" s="14" customFormat="1" x14ac:dyDescent="0.15">
      <c r="A150" s="31"/>
      <c r="B150" s="81"/>
      <c r="C150" s="78"/>
      <c r="D150" s="79"/>
      <c r="E150" s="80"/>
      <c r="F150" s="80"/>
      <c r="G150" s="80"/>
    </row>
    <row r="151" spans="1:8" s="15" customFormat="1" x14ac:dyDescent="0.15">
      <c r="A151" s="31"/>
      <c r="B151" s="81"/>
      <c r="C151" s="78"/>
      <c r="D151" s="79"/>
      <c r="E151" s="80"/>
      <c r="F151" s="80"/>
      <c r="G151" s="80"/>
      <c r="H151" s="11"/>
    </row>
    <row r="152" spans="1:8" s="15" customFormat="1" x14ac:dyDescent="0.15">
      <c r="A152" s="31"/>
      <c r="B152" s="81"/>
      <c r="C152" s="78"/>
      <c r="D152" s="79"/>
      <c r="E152" s="80"/>
      <c r="F152" s="80"/>
      <c r="G152" s="80"/>
      <c r="H152" s="11"/>
    </row>
    <row r="153" spans="1:8" s="15" customFormat="1" x14ac:dyDescent="0.15">
      <c r="A153" s="31"/>
      <c r="B153" s="81"/>
      <c r="C153" s="78"/>
      <c r="D153" s="79"/>
      <c r="E153" s="80"/>
      <c r="F153" s="80"/>
      <c r="G153" s="80"/>
      <c r="H153" s="11"/>
    </row>
    <row r="154" spans="1:8" s="15" customFormat="1" x14ac:dyDescent="0.15">
      <c r="A154" s="31"/>
      <c r="B154" s="81"/>
      <c r="C154" s="78"/>
      <c r="D154" s="79"/>
      <c r="E154" s="80"/>
      <c r="F154" s="80"/>
      <c r="G154" s="80"/>
      <c r="H154" s="11"/>
    </row>
    <row r="155" spans="1:8" s="15" customFormat="1" x14ac:dyDescent="0.15">
      <c r="A155" s="31"/>
      <c r="B155" s="81"/>
      <c r="C155" s="78"/>
      <c r="D155" s="79"/>
      <c r="E155" s="80"/>
      <c r="F155" s="80"/>
      <c r="G155" s="80"/>
      <c r="H155" s="11"/>
    </row>
    <row r="156" spans="1:8" s="15" customFormat="1" x14ac:dyDescent="0.15">
      <c r="A156" s="31"/>
      <c r="B156" s="81"/>
      <c r="C156" s="78"/>
      <c r="D156" s="79"/>
      <c r="E156" s="80"/>
      <c r="F156" s="80"/>
      <c r="G156" s="80"/>
      <c r="H156" s="11"/>
    </row>
    <row r="157" spans="1:8" s="14" customFormat="1" x14ac:dyDescent="0.15">
      <c r="A157" s="31"/>
      <c r="B157" s="81"/>
      <c r="C157" s="78"/>
      <c r="D157" s="79"/>
      <c r="E157" s="80"/>
      <c r="F157" s="80"/>
      <c r="G157" s="80"/>
      <c r="H157" s="11"/>
    </row>
    <row r="158" spans="1:8" s="14" customFormat="1" x14ac:dyDescent="0.15">
      <c r="A158" s="31"/>
      <c r="B158" s="81"/>
      <c r="C158" s="78"/>
      <c r="D158" s="79"/>
      <c r="E158" s="80"/>
      <c r="F158" s="80"/>
      <c r="G158" s="80"/>
      <c r="H158" s="11"/>
    </row>
    <row r="159" spans="1:8" s="15" customFormat="1" x14ac:dyDescent="0.15">
      <c r="A159" s="31"/>
      <c r="B159" s="81"/>
      <c r="C159" s="78"/>
      <c r="D159" s="79"/>
      <c r="E159" s="80"/>
      <c r="F159" s="80"/>
      <c r="G159" s="80"/>
      <c r="H159" s="14"/>
    </row>
    <row r="160" spans="1:8" s="15" customFormat="1" x14ac:dyDescent="0.15">
      <c r="A160" s="31"/>
      <c r="B160" s="81"/>
      <c r="C160" s="78"/>
      <c r="D160" s="79"/>
      <c r="E160" s="80"/>
      <c r="F160" s="80"/>
      <c r="G160" s="80"/>
      <c r="H160" s="14"/>
    </row>
    <row r="161" spans="1:8" s="14" customFormat="1" x14ac:dyDescent="0.15">
      <c r="A161" s="31"/>
      <c r="B161" s="81"/>
      <c r="C161" s="78"/>
      <c r="D161" s="79"/>
      <c r="E161" s="80"/>
      <c r="F161" s="80"/>
      <c r="G161" s="80"/>
    </row>
    <row r="162" spans="1:8" s="14" customFormat="1" x14ac:dyDescent="0.15">
      <c r="A162" s="31"/>
      <c r="B162" s="81"/>
      <c r="C162" s="78"/>
      <c r="D162" s="79"/>
      <c r="E162" s="80"/>
      <c r="F162" s="80"/>
      <c r="G162" s="80"/>
    </row>
    <row r="163" spans="1:8" s="15" customFormat="1" x14ac:dyDescent="0.15">
      <c r="A163" s="31"/>
      <c r="B163" s="81"/>
      <c r="C163" s="78"/>
      <c r="D163" s="79"/>
      <c r="E163" s="80"/>
      <c r="F163" s="80"/>
      <c r="G163" s="80"/>
      <c r="H163" s="11"/>
    </row>
    <row r="164" spans="1:8" s="15" customFormat="1" x14ac:dyDescent="0.15">
      <c r="A164" s="31"/>
      <c r="B164" s="81"/>
      <c r="C164" s="78"/>
      <c r="D164" s="79"/>
      <c r="E164" s="80"/>
      <c r="F164" s="80"/>
      <c r="G164" s="80"/>
      <c r="H164" s="11"/>
    </row>
    <row r="165" spans="1:8" s="15" customFormat="1" x14ac:dyDescent="0.15">
      <c r="A165" s="31"/>
      <c r="B165" s="81"/>
      <c r="C165" s="78"/>
      <c r="D165" s="79"/>
      <c r="E165" s="80"/>
      <c r="F165" s="80"/>
      <c r="G165" s="80"/>
      <c r="H165" s="11"/>
    </row>
    <row r="166" spans="1:8" s="15" customFormat="1" x14ac:dyDescent="0.15">
      <c r="A166" s="31"/>
      <c r="B166" s="81"/>
      <c r="C166" s="78"/>
      <c r="D166" s="79"/>
      <c r="E166" s="80"/>
      <c r="F166" s="80"/>
      <c r="G166" s="80"/>
      <c r="H166" s="11"/>
    </row>
    <row r="167" spans="1:8" s="15" customFormat="1" x14ac:dyDescent="0.15">
      <c r="A167" s="31"/>
      <c r="B167" s="81"/>
      <c r="C167" s="78"/>
      <c r="D167" s="79"/>
      <c r="E167" s="80"/>
      <c r="F167" s="80"/>
      <c r="G167" s="80"/>
      <c r="H167" s="11"/>
    </row>
    <row r="168" spans="1:8" s="15" customFormat="1" x14ac:dyDescent="0.15">
      <c r="A168" s="31"/>
      <c r="B168" s="81"/>
      <c r="C168" s="78"/>
      <c r="D168" s="79"/>
      <c r="E168" s="80"/>
      <c r="F168" s="80"/>
      <c r="G168" s="80"/>
      <c r="H168" s="11"/>
    </row>
    <row r="169" spans="1:8" s="15" customFormat="1" x14ac:dyDescent="0.15">
      <c r="A169" s="31"/>
      <c r="B169" s="81"/>
      <c r="C169" s="78"/>
      <c r="D169" s="79"/>
      <c r="E169" s="80"/>
      <c r="F169" s="80"/>
      <c r="G169" s="80"/>
      <c r="H169" s="11"/>
    </row>
    <row r="170" spans="1:8" s="15" customFormat="1" x14ac:dyDescent="0.15">
      <c r="A170" s="31"/>
      <c r="B170" s="81"/>
      <c r="C170" s="78"/>
      <c r="D170" s="79"/>
      <c r="E170" s="80"/>
      <c r="F170" s="80"/>
      <c r="G170" s="80"/>
      <c r="H170" s="11"/>
    </row>
    <row r="171" spans="1:8" s="14" customFormat="1" x14ac:dyDescent="0.15">
      <c r="A171" s="31"/>
      <c r="B171" s="81"/>
      <c r="C171" s="78"/>
      <c r="D171" s="79"/>
      <c r="E171" s="80"/>
      <c r="F171" s="80"/>
      <c r="G171" s="80"/>
      <c r="H171" s="11"/>
    </row>
    <row r="172" spans="1:8" s="14" customFormat="1" x14ac:dyDescent="0.15">
      <c r="A172" s="31"/>
      <c r="B172" s="81"/>
      <c r="C172" s="78"/>
      <c r="D172" s="79"/>
      <c r="E172" s="80"/>
      <c r="F172" s="80"/>
      <c r="G172" s="80"/>
    </row>
    <row r="173" spans="1:8" s="14" customFormat="1" x14ac:dyDescent="0.15">
      <c r="A173" s="31"/>
      <c r="B173" s="81"/>
      <c r="C173" s="78"/>
      <c r="D173" s="79"/>
      <c r="E173" s="80"/>
      <c r="F173" s="80"/>
      <c r="G173" s="80"/>
      <c r="H173" s="11"/>
    </row>
    <row r="174" spans="1:8" s="14" customFormat="1" x14ac:dyDescent="0.15">
      <c r="A174" s="31"/>
      <c r="B174" s="81"/>
      <c r="C174" s="78"/>
      <c r="D174" s="79"/>
      <c r="E174" s="80"/>
      <c r="F174" s="80"/>
      <c r="G174" s="80"/>
      <c r="H174" s="11"/>
    </row>
    <row r="175" spans="1:8" s="15" customFormat="1" x14ac:dyDescent="0.15">
      <c r="A175" s="31"/>
      <c r="B175" s="81"/>
      <c r="C175" s="78"/>
      <c r="D175" s="79"/>
      <c r="E175" s="80"/>
      <c r="F175" s="80"/>
      <c r="G175" s="80"/>
      <c r="H175" s="11"/>
    </row>
    <row r="176" spans="1:8" s="15" customFormat="1" x14ac:dyDescent="0.15">
      <c r="A176" s="31"/>
      <c r="B176" s="81"/>
      <c r="C176" s="78"/>
      <c r="D176" s="79"/>
      <c r="E176" s="80"/>
      <c r="F176" s="80"/>
      <c r="G176" s="80"/>
      <c r="H176" s="11"/>
    </row>
    <row r="177" spans="1:8" s="15" customFormat="1" x14ac:dyDescent="0.15">
      <c r="A177" s="31"/>
      <c r="B177" s="81"/>
      <c r="C177" s="78"/>
      <c r="D177" s="79"/>
      <c r="E177" s="80"/>
      <c r="F177" s="80"/>
      <c r="G177" s="80"/>
      <c r="H177" s="11"/>
    </row>
    <row r="178" spans="1:8" s="15" customFormat="1" x14ac:dyDescent="0.15">
      <c r="A178" s="31"/>
      <c r="B178" s="81"/>
      <c r="C178" s="78"/>
      <c r="D178" s="79"/>
      <c r="E178" s="80"/>
      <c r="F178" s="80"/>
      <c r="G178" s="80"/>
      <c r="H178" s="11"/>
    </row>
    <row r="179" spans="1:8" s="15" customFormat="1" x14ac:dyDescent="0.15">
      <c r="A179" s="31"/>
      <c r="B179" s="81"/>
      <c r="C179" s="78"/>
      <c r="D179" s="79"/>
      <c r="E179" s="80"/>
      <c r="F179" s="80"/>
      <c r="G179" s="80"/>
      <c r="H179" s="11"/>
    </row>
    <row r="180" spans="1:8" s="15" customFormat="1" x14ac:dyDescent="0.15">
      <c r="A180" s="31"/>
      <c r="B180" s="81"/>
      <c r="C180" s="78"/>
      <c r="D180" s="79"/>
      <c r="E180" s="80"/>
      <c r="F180" s="80"/>
      <c r="G180" s="80"/>
      <c r="H180" s="11"/>
    </row>
    <row r="181" spans="1:8" s="15" customFormat="1" x14ac:dyDescent="0.15">
      <c r="A181" s="31"/>
      <c r="B181" s="81"/>
      <c r="C181" s="78"/>
      <c r="D181" s="79"/>
      <c r="E181" s="80"/>
      <c r="F181" s="80"/>
      <c r="G181" s="80"/>
      <c r="H181" s="11"/>
    </row>
    <row r="182" spans="1:8" s="15" customFormat="1" x14ac:dyDescent="0.15">
      <c r="A182" s="31"/>
      <c r="B182" s="81"/>
      <c r="C182" s="78"/>
      <c r="D182" s="79"/>
      <c r="E182" s="80"/>
      <c r="F182" s="80"/>
      <c r="G182" s="80"/>
      <c r="H182" s="11"/>
    </row>
    <row r="183" spans="1:8" s="15" customFormat="1" x14ac:dyDescent="0.15">
      <c r="A183" s="31"/>
      <c r="B183" s="81"/>
      <c r="C183" s="78"/>
      <c r="D183" s="79"/>
      <c r="E183" s="80"/>
      <c r="F183" s="80"/>
      <c r="G183" s="80"/>
      <c r="H183" s="11"/>
    </row>
    <row r="184" spans="1:8" s="14" customFormat="1" x14ac:dyDescent="0.15">
      <c r="A184" s="31"/>
      <c r="B184" s="81"/>
      <c r="C184" s="78"/>
      <c r="D184" s="79"/>
      <c r="E184" s="80"/>
      <c r="F184" s="80"/>
      <c r="G184" s="80"/>
      <c r="H184" s="11"/>
    </row>
    <row r="185" spans="1:8" s="15" customFormat="1" x14ac:dyDescent="0.15">
      <c r="A185" s="31"/>
      <c r="B185" s="81"/>
      <c r="C185" s="78"/>
      <c r="D185" s="79"/>
      <c r="E185" s="80"/>
      <c r="F185" s="80"/>
      <c r="G185" s="80"/>
      <c r="H185" s="11"/>
    </row>
    <row r="186" spans="1:8" s="15" customFormat="1" x14ac:dyDescent="0.15">
      <c r="A186" s="31"/>
      <c r="B186" s="81"/>
      <c r="C186" s="78"/>
      <c r="D186" s="79"/>
      <c r="E186" s="80"/>
      <c r="F186" s="80"/>
      <c r="G186" s="80"/>
    </row>
    <row r="187" spans="1:8" s="15" customFormat="1" x14ac:dyDescent="0.15">
      <c r="A187" s="31"/>
      <c r="B187" s="81"/>
      <c r="C187" s="78"/>
      <c r="D187" s="79"/>
      <c r="E187" s="80"/>
      <c r="F187" s="80"/>
      <c r="G187" s="80"/>
    </row>
    <row r="188" spans="1:8" s="15" customFormat="1" x14ac:dyDescent="0.15">
      <c r="A188" s="31"/>
      <c r="B188" s="81"/>
      <c r="C188" s="78"/>
      <c r="D188" s="79"/>
      <c r="E188" s="80"/>
      <c r="F188" s="80"/>
      <c r="G188" s="80"/>
    </row>
    <row r="189" spans="1:8" s="15" customFormat="1" x14ac:dyDescent="0.15">
      <c r="A189" s="31"/>
      <c r="B189" s="81"/>
      <c r="C189" s="78"/>
      <c r="D189" s="79"/>
      <c r="E189" s="80"/>
      <c r="F189" s="80"/>
      <c r="G189" s="80"/>
    </row>
    <row r="190" spans="1:8" s="15" customFormat="1" x14ac:dyDescent="0.15">
      <c r="A190" s="31"/>
      <c r="B190" s="81"/>
      <c r="C190" s="78"/>
      <c r="D190" s="79"/>
      <c r="E190" s="80"/>
      <c r="F190" s="80"/>
      <c r="G190" s="80"/>
    </row>
    <row r="191" spans="1:8" s="15" customFormat="1" x14ac:dyDescent="0.15">
      <c r="A191" s="31"/>
      <c r="B191" s="81"/>
      <c r="C191" s="78"/>
      <c r="D191" s="79"/>
      <c r="E191" s="80"/>
      <c r="F191" s="80"/>
      <c r="G191" s="80"/>
    </row>
    <row r="192" spans="1:8" s="15" customFormat="1" x14ac:dyDescent="0.15">
      <c r="A192" s="31"/>
      <c r="B192" s="81"/>
      <c r="C192" s="78"/>
      <c r="D192" s="79"/>
      <c r="E192" s="80"/>
      <c r="F192" s="80"/>
      <c r="G192" s="80"/>
    </row>
    <row r="193" spans="1:7" s="15" customFormat="1" x14ac:dyDescent="0.15">
      <c r="A193" s="31"/>
      <c r="B193" s="81"/>
      <c r="C193" s="78"/>
      <c r="D193" s="79"/>
      <c r="E193" s="80"/>
      <c r="F193" s="80"/>
      <c r="G193" s="80"/>
    </row>
    <row r="194" spans="1:7" s="15" customFormat="1" x14ac:dyDescent="0.15">
      <c r="A194" s="31"/>
      <c r="B194" s="81"/>
      <c r="C194" s="78"/>
      <c r="D194" s="79"/>
      <c r="E194" s="80"/>
      <c r="F194" s="80"/>
      <c r="G194" s="80"/>
    </row>
    <row r="195" spans="1:7" s="15" customFormat="1" x14ac:dyDescent="0.15">
      <c r="A195" s="31"/>
      <c r="B195" s="81"/>
      <c r="C195" s="78"/>
      <c r="D195" s="79"/>
      <c r="E195" s="80"/>
      <c r="F195" s="80"/>
      <c r="G195" s="80"/>
    </row>
    <row r="196" spans="1:7" s="15" customFormat="1" x14ac:dyDescent="0.15">
      <c r="A196" s="31"/>
      <c r="B196" s="81"/>
      <c r="C196" s="78"/>
      <c r="D196" s="79"/>
      <c r="E196" s="80"/>
      <c r="F196" s="80"/>
      <c r="G196" s="80"/>
    </row>
    <row r="197" spans="1:7" s="15" customFormat="1" x14ac:dyDescent="0.15">
      <c r="A197" s="31"/>
      <c r="B197" s="81"/>
      <c r="C197" s="78"/>
      <c r="D197" s="79"/>
      <c r="E197" s="80"/>
      <c r="F197" s="80"/>
      <c r="G197" s="80"/>
    </row>
    <row r="198" spans="1:7" s="15" customFormat="1" x14ac:dyDescent="0.15">
      <c r="A198" s="31"/>
      <c r="B198" s="81"/>
      <c r="C198" s="78"/>
      <c r="D198" s="79"/>
      <c r="E198" s="80"/>
      <c r="F198" s="80"/>
      <c r="G198" s="80"/>
    </row>
    <row r="199" spans="1:7" s="15" customFormat="1" x14ac:dyDescent="0.15">
      <c r="A199" s="31"/>
      <c r="B199" s="81"/>
      <c r="C199" s="78"/>
      <c r="D199" s="79"/>
      <c r="E199" s="80"/>
      <c r="F199" s="80"/>
      <c r="G199" s="80"/>
    </row>
    <row r="200" spans="1:7" s="15" customFormat="1" x14ac:dyDescent="0.15">
      <c r="A200" s="31"/>
      <c r="B200" s="81"/>
      <c r="C200" s="78"/>
      <c r="D200" s="79"/>
      <c r="E200" s="80"/>
      <c r="F200" s="80"/>
      <c r="G200" s="80"/>
    </row>
    <row r="201" spans="1:7" s="15" customFormat="1" x14ac:dyDescent="0.15">
      <c r="A201" s="31"/>
      <c r="B201" s="81"/>
      <c r="C201" s="78"/>
      <c r="D201" s="79"/>
      <c r="E201" s="80"/>
      <c r="F201" s="80"/>
      <c r="G201" s="80"/>
    </row>
    <row r="202" spans="1:7" s="15" customFormat="1" x14ac:dyDescent="0.15">
      <c r="A202" s="31"/>
      <c r="B202" s="81"/>
      <c r="C202" s="78"/>
      <c r="D202" s="79"/>
      <c r="E202" s="80"/>
      <c r="F202" s="80"/>
      <c r="G202" s="80"/>
    </row>
    <row r="203" spans="1:7" s="15" customFormat="1" x14ac:dyDescent="0.15">
      <c r="A203" s="31"/>
      <c r="B203" s="81"/>
      <c r="C203" s="78"/>
      <c r="D203" s="79"/>
      <c r="E203" s="80"/>
      <c r="F203" s="80"/>
      <c r="G203" s="80"/>
    </row>
    <row r="204" spans="1:7" s="15" customFormat="1" x14ac:dyDescent="0.15">
      <c r="A204" s="31"/>
      <c r="B204" s="81"/>
      <c r="C204" s="78"/>
      <c r="D204" s="79"/>
      <c r="E204" s="80"/>
      <c r="F204" s="80"/>
      <c r="G204" s="80"/>
    </row>
    <row r="205" spans="1:7" s="15" customFormat="1" x14ac:dyDescent="0.15">
      <c r="A205" s="31"/>
      <c r="B205" s="81"/>
      <c r="C205" s="78"/>
      <c r="D205" s="79"/>
      <c r="E205" s="80"/>
      <c r="F205" s="80"/>
      <c r="G205" s="80"/>
    </row>
    <row r="206" spans="1:7" s="15" customFormat="1" x14ac:dyDescent="0.15">
      <c r="A206" s="31"/>
      <c r="B206" s="81"/>
      <c r="C206" s="78"/>
      <c r="D206" s="79"/>
      <c r="E206" s="80"/>
      <c r="F206" s="80"/>
      <c r="G206" s="80"/>
    </row>
    <row r="207" spans="1:7" s="15" customFormat="1" x14ac:dyDescent="0.15">
      <c r="A207" s="31"/>
      <c r="B207" s="81"/>
      <c r="C207" s="78"/>
      <c r="D207" s="79"/>
      <c r="E207" s="80"/>
      <c r="F207" s="80"/>
      <c r="G207" s="80"/>
    </row>
    <row r="208" spans="1:7" s="15" customFormat="1" x14ac:dyDescent="0.15">
      <c r="A208" s="31"/>
      <c r="B208" s="81"/>
      <c r="C208" s="78"/>
      <c r="D208" s="79"/>
      <c r="E208" s="80"/>
      <c r="F208" s="80"/>
      <c r="G208" s="80"/>
    </row>
    <row r="209" spans="1:7" s="15" customFormat="1" x14ac:dyDescent="0.15">
      <c r="A209" s="31"/>
      <c r="B209" s="81"/>
      <c r="C209" s="78"/>
      <c r="D209" s="79"/>
      <c r="E209" s="80"/>
      <c r="F209" s="80"/>
      <c r="G209" s="80"/>
    </row>
    <row r="210" spans="1:7" s="15" customFormat="1" x14ac:dyDescent="0.15">
      <c r="A210" s="31"/>
      <c r="B210" s="81"/>
      <c r="C210" s="78"/>
      <c r="D210" s="79"/>
      <c r="E210" s="80"/>
      <c r="F210" s="80"/>
      <c r="G210" s="80"/>
    </row>
    <row r="211" spans="1:7" s="15" customFormat="1" x14ac:dyDescent="0.15">
      <c r="A211" s="31"/>
      <c r="B211" s="81"/>
      <c r="C211" s="78"/>
      <c r="D211" s="79"/>
      <c r="E211" s="80"/>
      <c r="F211" s="80"/>
      <c r="G211" s="80"/>
    </row>
    <row r="212" spans="1:7" s="15" customFormat="1" x14ac:dyDescent="0.15">
      <c r="A212" s="31"/>
      <c r="B212" s="81"/>
      <c r="C212" s="78"/>
      <c r="D212" s="79"/>
      <c r="E212" s="80"/>
      <c r="F212" s="80"/>
      <c r="G212" s="80"/>
    </row>
    <row r="213" spans="1:7" s="15" customFormat="1" x14ac:dyDescent="0.15">
      <c r="A213" s="31"/>
      <c r="B213" s="81"/>
      <c r="C213" s="78"/>
      <c r="D213" s="79"/>
      <c r="E213" s="80"/>
      <c r="F213" s="80"/>
      <c r="G213" s="80"/>
    </row>
    <row r="214" spans="1:7" s="15" customFormat="1" x14ac:dyDescent="0.15">
      <c r="A214" s="31"/>
      <c r="B214" s="81"/>
      <c r="C214" s="78"/>
      <c r="D214" s="79"/>
      <c r="E214" s="80"/>
      <c r="F214" s="80"/>
      <c r="G214" s="80"/>
    </row>
    <row r="215" spans="1:7" s="15" customFormat="1" x14ac:dyDescent="0.15">
      <c r="A215" s="31"/>
      <c r="B215" s="81"/>
      <c r="C215" s="78"/>
      <c r="D215" s="79"/>
      <c r="E215" s="80"/>
      <c r="F215" s="80"/>
      <c r="G215" s="80"/>
    </row>
    <row r="216" spans="1:7" s="15" customFormat="1" x14ac:dyDescent="0.15">
      <c r="A216" s="31"/>
      <c r="B216" s="81"/>
      <c r="C216" s="78"/>
      <c r="D216" s="79"/>
      <c r="E216" s="80"/>
      <c r="F216" s="80"/>
      <c r="G216" s="80"/>
    </row>
    <row r="217" spans="1:7" s="15" customFormat="1" x14ac:dyDescent="0.15">
      <c r="A217" s="31"/>
      <c r="B217" s="81"/>
      <c r="C217" s="78"/>
      <c r="D217" s="79"/>
      <c r="E217" s="80"/>
      <c r="F217" s="80"/>
      <c r="G217" s="80"/>
    </row>
    <row r="218" spans="1:7" s="15" customFormat="1" x14ac:dyDescent="0.15">
      <c r="A218" s="31"/>
      <c r="B218" s="81"/>
      <c r="C218" s="78"/>
      <c r="D218" s="79"/>
      <c r="E218" s="80"/>
      <c r="F218" s="80"/>
      <c r="G218" s="80"/>
    </row>
    <row r="219" spans="1:7" s="15" customFormat="1" x14ac:dyDescent="0.15">
      <c r="A219" s="31"/>
      <c r="B219" s="81"/>
      <c r="C219" s="78"/>
      <c r="D219" s="79"/>
      <c r="E219" s="80"/>
      <c r="F219" s="80"/>
      <c r="G219" s="80"/>
    </row>
    <row r="220" spans="1:7" s="15" customFormat="1" x14ac:dyDescent="0.15">
      <c r="A220" s="31"/>
      <c r="B220" s="81"/>
      <c r="C220" s="78"/>
      <c r="D220" s="79"/>
      <c r="E220" s="80"/>
      <c r="F220" s="80"/>
      <c r="G220" s="80"/>
    </row>
    <row r="221" spans="1:7" s="15" customFormat="1" x14ac:dyDescent="0.15">
      <c r="A221" s="31"/>
      <c r="B221" s="81"/>
      <c r="C221" s="78"/>
      <c r="D221" s="79"/>
      <c r="E221" s="80"/>
      <c r="F221" s="80"/>
      <c r="G221" s="80"/>
    </row>
    <row r="222" spans="1:7" s="15" customFormat="1" x14ac:dyDescent="0.15">
      <c r="A222" s="31"/>
      <c r="B222" s="81"/>
      <c r="C222" s="78"/>
      <c r="D222" s="79"/>
      <c r="E222" s="80"/>
      <c r="F222" s="80"/>
      <c r="G222" s="80"/>
    </row>
    <row r="223" spans="1:7" s="15" customFormat="1" x14ac:dyDescent="0.15">
      <c r="A223" s="31"/>
      <c r="B223" s="81"/>
      <c r="C223" s="78"/>
      <c r="D223" s="79"/>
      <c r="E223" s="80"/>
      <c r="F223" s="80"/>
      <c r="G223" s="80"/>
    </row>
    <row r="224" spans="1:7" s="15" customFormat="1" x14ac:dyDescent="0.15">
      <c r="A224" s="31"/>
      <c r="B224" s="81"/>
      <c r="C224" s="78"/>
      <c r="D224" s="79"/>
      <c r="E224" s="80"/>
      <c r="F224" s="80"/>
      <c r="G224" s="80"/>
    </row>
    <row r="225" spans="1:8" s="15" customFormat="1" x14ac:dyDescent="0.15">
      <c r="A225" s="31"/>
      <c r="B225" s="81"/>
      <c r="C225" s="78"/>
      <c r="D225" s="79"/>
      <c r="E225" s="80"/>
      <c r="F225" s="80"/>
      <c r="G225" s="80"/>
    </row>
    <row r="226" spans="1:8" s="15" customFormat="1" x14ac:dyDescent="0.15">
      <c r="A226" s="31"/>
      <c r="B226" s="81"/>
      <c r="C226" s="78"/>
      <c r="D226" s="79"/>
      <c r="E226" s="80"/>
      <c r="F226" s="80"/>
      <c r="G226" s="80"/>
    </row>
    <row r="227" spans="1:8" s="15" customFormat="1" x14ac:dyDescent="0.15">
      <c r="A227" s="31"/>
      <c r="B227" s="81"/>
      <c r="C227" s="78"/>
      <c r="D227" s="79"/>
      <c r="E227" s="80"/>
      <c r="F227" s="80"/>
      <c r="G227" s="80"/>
    </row>
    <row r="228" spans="1:8" s="15" customFormat="1" x14ac:dyDescent="0.15">
      <c r="A228" s="31"/>
      <c r="B228" s="81"/>
      <c r="C228" s="78"/>
      <c r="D228" s="79"/>
      <c r="E228" s="80"/>
      <c r="F228" s="80"/>
      <c r="G228" s="80"/>
    </row>
    <row r="229" spans="1:8" s="15" customFormat="1" x14ac:dyDescent="0.15">
      <c r="A229" s="31"/>
      <c r="B229" s="81"/>
      <c r="C229" s="78"/>
      <c r="D229" s="79"/>
      <c r="E229" s="80"/>
      <c r="F229" s="80"/>
      <c r="G229" s="80"/>
    </row>
    <row r="230" spans="1:8" s="15" customFormat="1" x14ac:dyDescent="0.15">
      <c r="A230" s="31"/>
      <c r="B230" s="81"/>
      <c r="C230" s="78"/>
      <c r="D230" s="79"/>
      <c r="E230" s="80"/>
      <c r="F230" s="80"/>
      <c r="G230" s="80"/>
    </row>
    <row r="231" spans="1:8" s="15" customFormat="1" x14ac:dyDescent="0.15">
      <c r="A231" s="31"/>
      <c r="B231" s="81"/>
      <c r="C231" s="78"/>
      <c r="D231" s="79"/>
      <c r="E231" s="80"/>
      <c r="F231" s="80"/>
      <c r="G231" s="80"/>
    </row>
    <row r="232" spans="1:8" s="15" customFormat="1" x14ac:dyDescent="0.15">
      <c r="A232" s="31"/>
      <c r="B232" s="81"/>
      <c r="C232" s="78"/>
      <c r="D232" s="79"/>
      <c r="E232" s="80"/>
      <c r="F232" s="80"/>
      <c r="G232" s="80"/>
    </row>
    <row r="233" spans="1:8" s="15" customFormat="1" x14ac:dyDescent="0.15">
      <c r="A233" s="31"/>
      <c r="B233" s="81"/>
      <c r="C233" s="78"/>
      <c r="D233" s="79"/>
      <c r="E233" s="80"/>
      <c r="F233" s="80"/>
      <c r="G233" s="80"/>
    </row>
    <row r="234" spans="1:8" s="15" customFormat="1" x14ac:dyDescent="0.15">
      <c r="A234" s="31"/>
      <c r="B234" s="81"/>
      <c r="C234" s="78"/>
      <c r="D234" s="79"/>
      <c r="E234" s="80"/>
      <c r="F234" s="80"/>
      <c r="G234" s="80"/>
      <c r="H234" s="11"/>
    </row>
    <row r="235" spans="1:8" s="15" customFormat="1" x14ac:dyDescent="0.15">
      <c r="A235" s="31"/>
      <c r="B235" s="81"/>
      <c r="C235" s="78"/>
      <c r="D235" s="79"/>
      <c r="E235" s="80"/>
      <c r="F235" s="80"/>
      <c r="G235" s="80"/>
      <c r="H235" s="11"/>
    </row>
    <row r="236" spans="1:8" s="15" customFormat="1" x14ac:dyDescent="0.15">
      <c r="A236" s="31"/>
      <c r="B236" s="81"/>
      <c r="C236" s="78"/>
      <c r="D236" s="79"/>
      <c r="E236" s="80"/>
      <c r="F236" s="80"/>
      <c r="G236" s="80"/>
      <c r="H236" s="11"/>
    </row>
    <row r="237" spans="1:8" s="15" customFormat="1" x14ac:dyDescent="0.15">
      <c r="A237" s="31"/>
      <c r="B237" s="81"/>
      <c r="C237" s="78"/>
      <c r="D237" s="79"/>
      <c r="E237" s="80"/>
      <c r="F237" s="80"/>
      <c r="G237" s="80"/>
      <c r="H237" s="11"/>
    </row>
    <row r="238" spans="1:8" s="15" customFormat="1" x14ac:dyDescent="0.15">
      <c r="A238" s="31"/>
      <c r="B238" s="81"/>
      <c r="C238" s="78"/>
      <c r="D238" s="79"/>
      <c r="E238" s="80"/>
      <c r="F238" s="80"/>
      <c r="G238" s="80"/>
      <c r="H238" s="11"/>
    </row>
    <row r="239" spans="1:8" s="15" customFormat="1" x14ac:dyDescent="0.15">
      <c r="A239" s="31"/>
      <c r="B239" s="81"/>
      <c r="C239" s="78"/>
      <c r="D239" s="79"/>
      <c r="E239" s="80"/>
      <c r="F239" s="80"/>
      <c r="G239" s="80"/>
      <c r="H239" s="11"/>
    </row>
    <row r="240" spans="1:8" s="15" customFormat="1" x14ac:dyDescent="0.15">
      <c r="A240" s="31"/>
      <c r="B240" s="81"/>
      <c r="C240" s="78"/>
      <c r="D240" s="79"/>
      <c r="E240" s="80"/>
      <c r="F240" s="80"/>
      <c r="G240" s="80"/>
      <c r="H240" s="11"/>
    </row>
    <row r="241" spans="1:8" s="15" customFormat="1" x14ac:dyDescent="0.15">
      <c r="A241" s="31"/>
      <c r="B241" s="81"/>
      <c r="C241" s="78"/>
      <c r="D241" s="79"/>
      <c r="E241" s="80"/>
      <c r="F241" s="80"/>
      <c r="G241" s="80"/>
      <c r="H241" s="11"/>
    </row>
    <row r="242" spans="1:8" s="15" customFormat="1" x14ac:dyDescent="0.15">
      <c r="A242" s="31"/>
      <c r="B242" s="81"/>
      <c r="C242" s="78"/>
      <c r="D242" s="79"/>
      <c r="E242" s="80"/>
      <c r="F242" s="80"/>
      <c r="G242" s="80"/>
      <c r="H242" s="11"/>
    </row>
    <row r="243" spans="1:8" s="15" customFormat="1" x14ac:dyDescent="0.15">
      <c r="A243" s="31"/>
      <c r="B243" s="81"/>
      <c r="C243" s="78"/>
      <c r="D243" s="79"/>
      <c r="E243" s="80"/>
      <c r="F243" s="80"/>
      <c r="G243" s="80"/>
      <c r="H243" s="11"/>
    </row>
    <row r="244" spans="1:8" s="15" customFormat="1" x14ac:dyDescent="0.15">
      <c r="A244" s="31"/>
      <c r="B244" s="81"/>
      <c r="C244" s="78"/>
      <c r="D244" s="79"/>
      <c r="E244" s="80"/>
      <c r="F244" s="80"/>
      <c r="G244" s="80"/>
      <c r="H244" s="11"/>
    </row>
    <row r="245" spans="1:8" s="15" customFormat="1" x14ac:dyDescent="0.15">
      <c r="A245" s="31"/>
      <c r="B245" s="81"/>
      <c r="C245" s="78"/>
      <c r="D245" s="79"/>
      <c r="E245" s="80"/>
      <c r="F245" s="80"/>
      <c r="G245" s="80"/>
      <c r="H245" s="11"/>
    </row>
    <row r="246" spans="1:8" s="15" customFormat="1" x14ac:dyDescent="0.15">
      <c r="A246" s="31"/>
      <c r="B246" s="81"/>
      <c r="C246" s="78"/>
      <c r="D246" s="79"/>
      <c r="E246" s="80"/>
      <c r="F246" s="80"/>
      <c r="G246" s="80"/>
      <c r="H246" s="11"/>
    </row>
    <row r="247" spans="1:8" s="15" customFormat="1" x14ac:dyDescent="0.15">
      <c r="A247" s="31"/>
      <c r="B247" s="81"/>
      <c r="C247" s="78"/>
      <c r="D247" s="79"/>
      <c r="E247" s="80"/>
      <c r="F247" s="80"/>
      <c r="G247" s="80"/>
      <c r="H247" s="11"/>
    </row>
    <row r="248" spans="1:8" s="15" customFormat="1" x14ac:dyDescent="0.15">
      <c r="A248" s="31"/>
      <c r="B248" s="81"/>
      <c r="C248" s="78"/>
      <c r="D248" s="79"/>
      <c r="E248" s="80"/>
      <c r="F248" s="80"/>
      <c r="G248" s="80"/>
      <c r="H248" s="14"/>
    </row>
    <row r="249" spans="1:8" s="15" customFormat="1" x14ac:dyDescent="0.15">
      <c r="A249" s="31"/>
      <c r="B249" s="81"/>
      <c r="C249" s="78"/>
      <c r="D249" s="79"/>
      <c r="E249" s="80"/>
      <c r="F249" s="80"/>
      <c r="G249" s="80"/>
      <c r="H249" s="14"/>
    </row>
    <row r="250" spans="1:8" s="15" customFormat="1" x14ac:dyDescent="0.15">
      <c r="A250" s="31"/>
      <c r="B250" s="81"/>
      <c r="C250" s="78"/>
      <c r="D250" s="79"/>
      <c r="E250" s="80"/>
      <c r="F250" s="80"/>
      <c r="G250" s="80"/>
      <c r="H250" s="11"/>
    </row>
    <row r="251" spans="1:8" s="15" customFormat="1" x14ac:dyDescent="0.15">
      <c r="A251" s="31"/>
      <c r="B251" s="81"/>
      <c r="C251" s="78"/>
      <c r="D251" s="79"/>
      <c r="E251" s="80"/>
      <c r="F251" s="80"/>
      <c r="G251" s="80"/>
      <c r="H251" s="11"/>
    </row>
    <row r="252" spans="1:8" s="15" customFormat="1" x14ac:dyDescent="0.15">
      <c r="A252" s="31"/>
      <c r="B252" s="81"/>
      <c r="C252" s="78"/>
      <c r="D252" s="79"/>
      <c r="E252" s="80"/>
      <c r="F252" s="80"/>
      <c r="G252" s="80"/>
      <c r="H252" s="11"/>
    </row>
    <row r="253" spans="1:8" s="15" customFormat="1" x14ac:dyDescent="0.15">
      <c r="A253" s="31"/>
      <c r="B253" s="81"/>
      <c r="C253" s="78"/>
      <c r="D253" s="79"/>
      <c r="E253" s="80"/>
      <c r="F253" s="80"/>
      <c r="G253" s="80"/>
      <c r="H253" s="11"/>
    </row>
    <row r="254" spans="1:8" s="15" customFormat="1" x14ac:dyDescent="0.15">
      <c r="A254" s="31"/>
      <c r="B254" s="81"/>
      <c r="C254" s="78"/>
      <c r="D254" s="79"/>
      <c r="E254" s="80"/>
      <c r="F254" s="80"/>
      <c r="G254" s="80"/>
      <c r="H254" s="11"/>
    </row>
    <row r="255" spans="1:8" s="15" customFormat="1" x14ac:dyDescent="0.15">
      <c r="A255" s="31"/>
      <c r="B255" s="81"/>
      <c r="C255" s="78"/>
      <c r="D255" s="79"/>
      <c r="E255" s="80"/>
      <c r="F255" s="80"/>
      <c r="G255" s="80"/>
      <c r="H255" s="11"/>
    </row>
    <row r="256" spans="1:8" s="15" customFormat="1" x14ac:dyDescent="0.15">
      <c r="A256" s="31"/>
      <c r="B256" s="81"/>
      <c r="C256" s="78"/>
      <c r="D256" s="79"/>
      <c r="E256" s="80"/>
      <c r="F256" s="80"/>
      <c r="G256" s="80"/>
      <c r="H256" s="11"/>
    </row>
    <row r="257" spans="1:8" s="15" customFormat="1" x14ac:dyDescent="0.15">
      <c r="A257" s="31"/>
      <c r="B257" s="81"/>
      <c r="C257" s="78"/>
      <c r="D257" s="79"/>
      <c r="E257" s="80"/>
      <c r="F257" s="80"/>
      <c r="G257" s="80"/>
      <c r="H257" s="11"/>
    </row>
    <row r="258" spans="1:8" s="15" customFormat="1" x14ac:dyDescent="0.15">
      <c r="A258" s="31"/>
      <c r="B258" s="81"/>
      <c r="C258" s="78"/>
      <c r="D258" s="79"/>
      <c r="E258" s="80"/>
      <c r="F258" s="80"/>
      <c r="G258" s="80"/>
      <c r="H258" s="11"/>
    </row>
    <row r="259" spans="1:8" s="15" customFormat="1" x14ac:dyDescent="0.15">
      <c r="A259" s="31"/>
      <c r="B259" s="81"/>
      <c r="C259" s="78"/>
      <c r="D259" s="79"/>
      <c r="E259" s="80"/>
      <c r="F259" s="80"/>
      <c r="G259" s="80"/>
      <c r="H259" s="11"/>
    </row>
    <row r="260" spans="1:8" s="14" customFormat="1" x14ac:dyDescent="0.15">
      <c r="A260" s="31"/>
      <c r="B260" s="81"/>
      <c r="C260" s="78"/>
      <c r="D260" s="79"/>
      <c r="E260" s="80"/>
      <c r="F260" s="80"/>
      <c r="G260" s="80"/>
      <c r="H260" s="11"/>
    </row>
    <row r="261" spans="1:8" s="14" customFormat="1" x14ac:dyDescent="0.15">
      <c r="A261" s="31"/>
      <c r="B261" s="81"/>
      <c r="C261" s="78"/>
      <c r="D261" s="79"/>
      <c r="E261" s="80"/>
      <c r="F261" s="80"/>
      <c r="G261" s="80"/>
      <c r="H261" s="11"/>
    </row>
    <row r="262" spans="1:8" s="15" customFormat="1" x14ac:dyDescent="0.15">
      <c r="A262" s="31"/>
      <c r="B262" s="81"/>
      <c r="C262" s="78"/>
      <c r="D262" s="79"/>
      <c r="E262" s="80"/>
      <c r="F262" s="80"/>
      <c r="G262" s="80"/>
      <c r="H262" s="11"/>
    </row>
    <row r="263" spans="1:8" s="15" customFormat="1" x14ac:dyDescent="0.15">
      <c r="A263" s="31"/>
      <c r="B263" s="81"/>
      <c r="C263" s="78"/>
      <c r="D263" s="79"/>
      <c r="E263" s="80"/>
      <c r="F263" s="80"/>
      <c r="G263" s="80"/>
      <c r="H263" s="11"/>
    </row>
    <row r="264" spans="1:8" s="15" customFormat="1" x14ac:dyDescent="0.15">
      <c r="A264" s="31"/>
      <c r="B264" s="81"/>
      <c r="C264" s="78"/>
      <c r="D264" s="79"/>
      <c r="E264" s="80"/>
      <c r="F264" s="80"/>
      <c r="G264" s="80"/>
      <c r="H264" s="11"/>
    </row>
    <row r="265" spans="1:8" s="15" customFormat="1" x14ac:dyDescent="0.15">
      <c r="A265" s="31"/>
      <c r="B265" s="81"/>
      <c r="C265" s="78"/>
      <c r="D265" s="79"/>
      <c r="E265" s="80"/>
      <c r="F265" s="80"/>
      <c r="G265" s="80"/>
      <c r="H265" s="11"/>
    </row>
    <row r="266" spans="1:8" s="15" customFormat="1" x14ac:dyDescent="0.15">
      <c r="A266" s="31"/>
      <c r="B266" s="81"/>
      <c r="C266" s="78"/>
      <c r="D266" s="79"/>
      <c r="E266" s="80"/>
      <c r="F266" s="80"/>
      <c r="G266" s="80"/>
    </row>
    <row r="267" spans="1:8" s="15" customFormat="1" x14ac:dyDescent="0.15">
      <c r="A267" s="31"/>
      <c r="B267" s="81"/>
      <c r="C267" s="78"/>
      <c r="D267" s="79"/>
      <c r="E267" s="80"/>
      <c r="F267" s="80"/>
      <c r="G267" s="80"/>
    </row>
    <row r="268" spans="1:8" s="15" customFormat="1" x14ac:dyDescent="0.15">
      <c r="A268" s="31"/>
      <c r="B268" s="81"/>
      <c r="C268" s="78"/>
      <c r="D268" s="79"/>
      <c r="E268" s="80"/>
      <c r="F268" s="80"/>
      <c r="G268" s="80"/>
    </row>
    <row r="269" spans="1:8" s="15" customFormat="1" x14ac:dyDescent="0.15">
      <c r="A269" s="31"/>
      <c r="B269" s="81"/>
      <c r="C269" s="78"/>
      <c r="D269" s="79"/>
      <c r="E269" s="80"/>
      <c r="F269" s="80"/>
      <c r="G269" s="80"/>
    </row>
    <row r="270" spans="1:8" s="15" customFormat="1" x14ac:dyDescent="0.15">
      <c r="A270" s="31"/>
      <c r="B270" s="81"/>
      <c r="C270" s="78"/>
      <c r="D270" s="79"/>
      <c r="E270" s="80"/>
      <c r="F270" s="80"/>
      <c r="G270" s="80"/>
    </row>
    <row r="271" spans="1:8" s="15" customFormat="1" x14ac:dyDescent="0.15">
      <c r="A271" s="31"/>
      <c r="B271" s="81"/>
      <c r="C271" s="78"/>
      <c r="D271" s="79"/>
      <c r="E271" s="80"/>
      <c r="F271" s="80"/>
      <c r="G271" s="80"/>
    </row>
    <row r="272" spans="1:8" s="15" customFormat="1" x14ac:dyDescent="0.15">
      <c r="A272" s="31"/>
      <c r="B272" s="81"/>
      <c r="C272" s="78"/>
      <c r="D272" s="79"/>
      <c r="E272" s="80"/>
      <c r="F272" s="80"/>
      <c r="G272" s="80"/>
    </row>
    <row r="273" spans="1:7" s="15" customFormat="1" x14ac:dyDescent="0.15">
      <c r="A273" s="31"/>
      <c r="B273" s="81"/>
      <c r="C273" s="78"/>
      <c r="D273" s="79"/>
      <c r="E273" s="80"/>
      <c r="F273" s="80"/>
      <c r="G273" s="80"/>
    </row>
    <row r="274" spans="1:7" s="15" customFormat="1" x14ac:dyDescent="0.15">
      <c r="A274" s="31"/>
      <c r="B274" s="81"/>
      <c r="C274" s="78"/>
      <c r="D274" s="79"/>
      <c r="E274" s="80"/>
      <c r="F274" s="80"/>
      <c r="G274" s="80"/>
    </row>
    <row r="275" spans="1:7" s="15" customFormat="1" x14ac:dyDescent="0.15">
      <c r="A275" s="31"/>
      <c r="B275" s="81"/>
      <c r="C275" s="78"/>
      <c r="D275" s="79"/>
      <c r="E275" s="80"/>
      <c r="F275" s="80"/>
      <c r="G275" s="80"/>
    </row>
    <row r="276" spans="1:7" s="15" customFormat="1" x14ac:dyDescent="0.15">
      <c r="A276" s="31"/>
      <c r="B276" s="81"/>
      <c r="C276" s="78"/>
      <c r="D276" s="79"/>
      <c r="E276" s="80"/>
      <c r="F276" s="80"/>
      <c r="G276" s="80"/>
    </row>
    <row r="277" spans="1:7" s="15" customFormat="1" x14ac:dyDescent="0.15">
      <c r="A277" s="31"/>
      <c r="B277" s="81"/>
      <c r="C277" s="78"/>
      <c r="D277" s="79"/>
      <c r="E277" s="80"/>
      <c r="F277" s="80"/>
      <c r="G277" s="80"/>
    </row>
    <row r="278" spans="1:7" s="15" customFormat="1" x14ac:dyDescent="0.15">
      <c r="A278" s="31"/>
      <c r="B278" s="81"/>
      <c r="C278" s="78"/>
      <c r="D278" s="79"/>
      <c r="E278" s="80"/>
      <c r="F278" s="80"/>
      <c r="G278" s="80"/>
    </row>
    <row r="279" spans="1:7" s="15" customFormat="1" x14ac:dyDescent="0.15">
      <c r="A279" s="31"/>
      <c r="B279" s="81"/>
      <c r="C279" s="78"/>
      <c r="D279" s="79"/>
      <c r="E279" s="80"/>
      <c r="F279" s="80"/>
      <c r="G279" s="80"/>
    </row>
    <row r="280" spans="1:7" s="15" customFormat="1" x14ac:dyDescent="0.15">
      <c r="A280" s="31"/>
      <c r="B280" s="81"/>
      <c r="C280" s="78"/>
      <c r="D280" s="79"/>
      <c r="E280" s="80"/>
      <c r="F280" s="80"/>
      <c r="G280" s="80"/>
    </row>
    <row r="281" spans="1:7" s="15" customFormat="1" x14ac:dyDescent="0.15">
      <c r="A281" s="31"/>
      <c r="B281" s="81"/>
      <c r="C281" s="78"/>
      <c r="D281" s="79"/>
      <c r="E281" s="80"/>
      <c r="F281" s="80"/>
      <c r="G281" s="80"/>
    </row>
    <row r="282" spans="1:7" s="15" customFormat="1" x14ac:dyDescent="0.15">
      <c r="A282" s="31"/>
      <c r="B282" s="81"/>
      <c r="C282" s="78"/>
      <c r="D282" s="79"/>
      <c r="E282" s="80"/>
      <c r="F282" s="80"/>
      <c r="G282" s="80"/>
    </row>
    <row r="283" spans="1:7" s="15" customFormat="1" x14ac:dyDescent="0.15">
      <c r="A283" s="31"/>
      <c r="B283" s="81"/>
      <c r="C283" s="78"/>
      <c r="D283" s="79"/>
      <c r="E283" s="80"/>
      <c r="F283" s="80"/>
      <c r="G283" s="80"/>
    </row>
    <row r="284" spans="1:7" s="15" customFormat="1" x14ac:dyDescent="0.15">
      <c r="A284" s="31"/>
      <c r="B284" s="81"/>
      <c r="C284" s="78"/>
      <c r="D284" s="79"/>
      <c r="E284" s="80"/>
      <c r="F284" s="80"/>
      <c r="G284" s="80"/>
    </row>
    <row r="285" spans="1:7" s="15" customFormat="1" x14ac:dyDescent="0.15">
      <c r="A285" s="31"/>
      <c r="B285" s="81"/>
      <c r="C285" s="78"/>
      <c r="D285" s="79"/>
      <c r="E285" s="80"/>
      <c r="F285" s="80"/>
      <c r="G285" s="80"/>
    </row>
    <row r="286" spans="1:7" s="15" customFormat="1" x14ac:dyDescent="0.15">
      <c r="A286" s="31"/>
      <c r="B286" s="81"/>
      <c r="C286" s="78"/>
      <c r="D286" s="79"/>
      <c r="E286" s="80"/>
      <c r="F286" s="80"/>
      <c r="G286" s="80"/>
    </row>
    <row r="287" spans="1:7" s="15" customFormat="1" x14ac:dyDescent="0.15">
      <c r="A287" s="31"/>
      <c r="B287" s="81"/>
      <c r="C287" s="78"/>
      <c r="D287" s="79"/>
      <c r="E287" s="80"/>
      <c r="F287" s="80"/>
      <c r="G287" s="80"/>
    </row>
    <row r="288" spans="1:7" s="15" customFormat="1" x14ac:dyDescent="0.15">
      <c r="A288" s="31"/>
      <c r="B288" s="81"/>
      <c r="C288" s="78"/>
      <c r="D288" s="79"/>
      <c r="E288" s="80"/>
      <c r="F288" s="80"/>
      <c r="G288" s="80"/>
    </row>
    <row r="289" spans="1:7" s="15" customFormat="1" x14ac:dyDescent="0.15">
      <c r="A289" s="31"/>
      <c r="B289" s="81"/>
      <c r="C289" s="78"/>
      <c r="D289" s="79"/>
      <c r="E289" s="80"/>
      <c r="F289" s="80"/>
      <c r="G289" s="80"/>
    </row>
    <row r="290" spans="1:7" s="15" customFormat="1" x14ac:dyDescent="0.15">
      <c r="A290" s="31"/>
      <c r="B290" s="81"/>
      <c r="C290" s="78"/>
      <c r="D290" s="79"/>
      <c r="E290" s="80"/>
      <c r="F290" s="80"/>
      <c r="G290" s="80"/>
    </row>
    <row r="291" spans="1:7" s="15" customFormat="1" x14ac:dyDescent="0.15">
      <c r="A291" s="31"/>
      <c r="B291" s="81"/>
      <c r="C291" s="78"/>
      <c r="D291" s="79"/>
      <c r="E291" s="80"/>
      <c r="F291" s="80"/>
      <c r="G291" s="80"/>
    </row>
    <row r="292" spans="1:7" s="15" customFormat="1" x14ac:dyDescent="0.15">
      <c r="A292" s="31"/>
      <c r="B292" s="81"/>
      <c r="C292" s="78"/>
      <c r="D292" s="79"/>
      <c r="E292" s="80"/>
      <c r="F292" s="80"/>
      <c r="G292" s="80"/>
    </row>
    <row r="293" spans="1:7" s="15" customFormat="1" x14ac:dyDescent="0.15">
      <c r="A293" s="31"/>
      <c r="B293" s="81"/>
      <c r="C293" s="78"/>
      <c r="D293" s="79"/>
      <c r="E293" s="80"/>
      <c r="F293" s="80"/>
      <c r="G293" s="80"/>
    </row>
    <row r="294" spans="1:7" s="15" customFormat="1" x14ac:dyDescent="0.15">
      <c r="A294" s="31"/>
      <c r="B294" s="81"/>
      <c r="C294" s="78"/>
      <c r="D294" s="79"/>
      <c r="E294" s="80"/>
      <c r="F294" s="80"/>
      <c r="G294" s="80"/>
    </row>
    <row r="295" spans="1:7" s="15" customFormat="1" x14ac:dyDescent="0.15">
      <c r="A295" s="31"/>
      <c r="B295" s="81"/>
      <c r="C295" s="78"/>
      <c r="D295" s="79"/>
      <c r="E295" s="80"/>
      <c r="F295" s="80"/>
      <c r="G295" s="80"/>
    </row>
    <row r="296" spans="1:7" s="15" customFormat="1" x14ac:dyDescent="0.15">
      <c r="A296" s="31"/>
      <c r="B296" s="81"/>
      <c r="C296" s="78"/>
      <c r="D296" s="79"/>
      <c r="E296" s="80"/>
      <c r="F296" s="80"/>
      <c r="G296" s="80"/>
    </row>
    <row r="297" spans="1:7" s="15" customFormat="1" x14ac:dyDescent="0.15">
      <c r="A297" s="31"/>
      <c r="B297" s="81"/>
      <c r="C297" s="78"/>
      <c r="D297" s="79"/>
      <c r="E297" s="80"/>
      <c r="F297" s="80"/>
      <c r="G297" s="80"/>
    </row>
    <row r="298" spans="1:7" s="15" customFormat="1" x14ac:dyDescent="0.15">
      <c r="A298" s="31"/>
      <c r="B298" s="81"/>
      <c r="C298" s="78"/>
      <c r="D298" s="79"/>
      <c r="E298" s="80"/>
      <c r="F298" s="80"/>
      <c r="G298" s="80"/>
    </row>
    <row r="299" spans="1:7" s="15" customFormat="1" x14ac:dyDescent="0.15">
      <c r="A299" s="31"/>
      <c r="B299" s="81"/>
      <c r="C299" s="78"/>
      <c r="D299" s="79"/>
      <c r="E299" s="80"/>
      <c r="F299" s="80"/>
      <c r="G299" s="80"/>
    </row>
    <row r="300" spans="1:7" s="15" customFormat="1" x14ac:dyDescent="0.15">
      <c r="A300" s="31"/>
      <c r="B300" s="81"/>
      <c r="C300" s="78"/>
      <c r="D300" s="79"/>
      <c r="E300" s="80"/>
      <c r="F300" s="80"/>
      <c r="G300" s="80"/>
    </row>
    <row r="301" spans="1:7" s="15" customFormat="1" x14ac:dyDescent="0.15">
      <c r="A301" s="31"/>
      <c r="B301" s="81"/>
      <c r="C301" s="78"/>
      <c r="D301" s="79"/>
      <c r="E301" s="80"/>
      <c r="F301" s="80"/>
      <c r="G301" s="80"/>
    </row>
    <row r="302" spans="1:7" s="15" customFormat="1" x14ac:dyDescent="0.15">
      <c r="A302" s="31"/>
      <c r="B302" s="81"/>
      <c r="C302" s="78"/>
      <c r="D302" s="79"/>
      <c r="E302" s="80"/>
      <c r="F302" s="80"/>
      <c r="G302" s="80"/>
    </row>
    <row r="303" spans="1:7" s="15" customFormat="1" x14ac:dyDescent="0.15">
      <c r="A303" s="31"/>
      <c r="B303" s="81"/>
      <c r="C303" s="78"/>
      <c r="D303" s="79"/>
      <c r="E303" s="80"/>
      <c r="F303" s="80"/>
      <c r="G303" s="80"/>
    </row>
    <row r="304" spans="1:7" s="15" customFormat="1" x14ac:dyDescent="0.15">
      <c r="A304" s="31"/>
      <c r="B304" s="81"/>
      <c r="C304" s="78"/>
      <c r="D304" s="79"/>
      <c r="E304" s="80"/>
      <c r="F304" s="80"/>
      <c r="G304" s="80"/>
    </row>
    <row r="305" spans="1:7" s="15" customFormat="1" x14ac:dyDescent="0.15">
      <c r="A305" s="31"/>
      <c r="B305" s="81"/>
      <c r="C305" s="78"/>
      <c r="D305" s="79"/>
      <c r="E305" s="80"/>
      <c r="F305" s="80"/>
      <c r="G305" s="80"/>
    </row>
    <row r="306" spans="1:7" s="15" customFormat="1" x14ac:dyDescent="0.15">
      <c r="A306" s="31"/>
      <c r="B306" s="81"/>
      <c r="C306" s="78"/>
      <c r="D306" s="79"/>
      <c r="E306" s="80"/>
      <c r="F306" s="80"/>
      <c r="G306" s="80"/>
    </row>
    <row r="307" spans="1:7" s="15" customFormat="1" x14ac:dyDescent="0.15">
      <c r="A307" s="31"/>
      <c r="B307" s="81"/>
      <c r="C307" s="78"/>
      <c r="D307" s="79"/>
      <c r="E307" s="80"/>
      <c r="F307" s="80"/>
      <c r="G307" s="80"/>
    </row>
    <row r="308" spans="1:7" s="15" customFormat="1" x14ac:dyDescent="0.15">
      <c r="A308" s="31"/>
      <c r="B308" s="81"/>
      <c r="C308" s="78"/>
      <c r="D308" s="79"/>
      <c r="E308" s="80"/>
      <c r="F308" s="80"/>
      <c r="G308" s="80"/>
    </row>
    <row r="309" spans="1:7" s="15" customFormat="1" x14ac:dyDescent="0.15">
      <c r="A309" s="31"/>
      <c r="B309" s="81"/>
      <c r="C309" s="78"/>
      <c r="D309" s="79"/>
      <c r="E309" s="80"/>
      <c r="F309" s="80"/>
      <c r="G309" s="80"/>
    </row>
    <row r="310" spans="1:7" s="15" customFormat="1" x14ac:dyDescent="0.15">
      <c r="A310" s="31"/>
      <c r="B310" s="81"/>
      <c r="C310" s="78"/>
      <c r="D310" s="79"/>
      <c r="E310" s="80"/>
      <c r="F310" s="80"/>
      <c r="G310" s="80"/>
    </row>
    <row r="311" spans="1:7" s="15" customFormat="1" x14ac:dyDescent="0.15">
      <c r="A311" s="31"/>
      <c r="B311" s="81"/>
      <c r="C311" s="78"/>
      <c r="D311" s="79"/>
      <c r="E311" s="80"/>
      <c r="F311" s="80"/>
      <c r="G311" s="80"/>
    </row>
    <row r="312" spans="1:7" s="15" customFormat="1" x14ac:dyDescent="0.15">
      <c r="A312" s="31"/>
      <c r="B312" s="81"/>
      <c r="C312" s="78"/>
      <c r="D312" s="79"/>
      <c r="E312" s="80"/>
      <c r="F312" s="80"/>
      <c r="G312" s="80"/>
    </row>
    <row r="313" spans="1:7" s="15" customFormat="1" x14ac:dyDescent="0.15">
      <c r="A313" s="31"/>
      <c r="B313" s="81"/>
      <c r="C313" s="78"/>
      <c r="D313" s="79"/>
      <c r="E313" s="80"/>
      <c r="F313" s="80"/>
      <c r="G313" s="80"/>
    </row>
    <row r="314" spans="1:7" s="15" customFormat="1" x14ac:dyDescent="0.15">
      <c r="A314" s="31"/>
      <c r="B314" s="81"/>
      <c r="C314" s="78"/>
      <c r="D314" s="79"/>
      <c r="E314" s="80"/>
      <c r="F314" s="80"/>
      <c r="G314" s="80"/>
    </row>
    <row r="315" spans="1:7" s="15" customFormat="1" x14ac:dyDescent="0.15">
      <c r="A315" s="31"/>
      <c r="B315" s="81"/>
      <c r="C315" s="78"/>
      <c r="D315" s="79"/>
      <c r="E315" s="80"/>
      <c r="F315" s="80"/>
      <c r="G315" s="80"/>
    </row>
    <row r="316" spans="1:7" s="15" customFormat="1" x14ac:dyDescent="0.15">
      <c r="A316" s="31"/>
      <c r="B316" s="81"/>
      <c r="C316" s="78"/>
      <c r="D316" s="79"/>
      <c r="E316" s="80"/>
      <c r="F316" s="80"/>
      <c r="G316" s="80"/>
    </row>
    <row r="317" spans="1:7" s="15" customFormat="1" x14ac:dyDescent="0.15">
      <c r="A317" s="31"/>
      <c r="B317" s="81"/>
      <c r="C317" s="78"/>
      <c r="D317" s="79"/>
      <c r="E317" s="80"/>
      <c r="F317" s="80"/>
      <c r="G317" s="80"/>
    </row>
    <row r="318" spans="1:7" s="15" customFormat="1" x14ac:dyDescent="0.15">
      <c r="A318" s="31"/>
      <c r="B318" s="81"/>
      <c r="C318" s="78"/>
      <c r="D318" s="79"/>
      <c r="E318" s="80"/>
      <c r="F318" s="80"/>
      <c r="G318" s="80"/>
    </row>
    <row r="319" spans="1:7" s="15" customFormat="1" x14ac:dyDescent="0.15">
      <c r="A319" s="31"/>
      <c r="B319" s="81"/>
      <c r="C319" s="78"/>
      <c r="D319" s="79"/>
      <c r="E319" s="80"/>
      <c r="F319" s="80"/>
      <c r="G319" s="80"/>
    </row>
    <row r="320" spans="1:7" s="15" customFormat="1" x14ac:dyDescent="0.15">
      <c r="A320" s="31"/>
      <c r="B320" s="81"/>
      <c r="C320" s="78"/>
      <c r="D320" s="79"/>
      <c r="E320" s="80"/>
      <c r="F320" s="80"/>
      <c r="G320" s="80"/>
    </row>
    <row r="321" spans="1:7" s="15" customFormat="1" x14ac:dyDescent="0.15">
      <c r="A321" s="31"/>
      <c r="B321" s="81"/>
      <c r="C321" s="78"/>
      <c r="D321" s="79"/>
      <c r="E321" s="80"/>
      <c r="F321" s="80"/>
      <c r="G321" s="80"/>
    </row>
    <row r="322" spans="1:7" s="15" customFormat="1" x14ac:dyDescent="0.15">
      <c r="A322" s="31"/>
      <c r="B322" s="81"/>
      <c r="C322" s="78"/>
      <c r="D322" s="79"/>
      <c r="E322" s="80"/>
      <c r="F322" s="80"/>
      <c r="G322" s="80"/>
    </row>
    <row r="323" spans="1:7" s="15" customFormat="1" x14ac:dyDescent="0.15">
      <c r="A323" s="31"/>
      <c r="B323" s="81"/>
      <c r="C323" s="78"/>
      <c r="D323" s="79"/>
      <c r="E323" s="80"/>
      <c r="F323" s="80"/>
      <c r="G323" s="80"/>
    </row>
    <row r="324" spans="1:7" s="15" customFormat="1" x14ac:dyDescent="0.15">
      <c r="A324" s="31"/>
      <c r="B324" s="81"/>
      <c r="C324" s="78"/>
      <c r="D324" s="79"/>
      <c r="E324" s="80"/>
      <c r="F324" s="80"/>
      <c r="G324" s="80"/>
    </row>
    <row r="325" spans="1:7" s="15" customFormat="1" x14ac:dyDescent="0.15">
      <c r="A325" s="31"/>
      <c r="B325" s="81"/>
      <c r="C325" s="78"/>
      <c r="D325" s="79"/>
      <c r="E325" s="80"/>
      <c r="F325" s="80"/>
      <c r="G325" s="80"/>
    </row>
    <row r="326" spans="1:7" s="15" customFormat="1" x14ac:dyDescent="0.15">
      <c r="A326" s="31"/>
      <c r="B326" s="81"/>
      <c r="C326" s="78"/>
      <c r="D326" s="79"/>
      <c r="E326" s="80"/>
      <c r="F326" s="80"/>
      <c r="G326" s="80"/>
    </row>
    <row r="327" spans="1:7" s="15" customFormat="1" x14ac:dyDescent="0.15">
      <c r="A327" s="31"/>
      <c r="B327" s="81"/>
      <c r="C327" s="78"/>
      <c r="D327" s="79"/>
      <c r="E327" s="80"/>
      <c r="F327" s="80"/>
      <c r="G327" s="80"/>
    </row>
    <row r="328" spans="1:7" s="15" customFormat="1" x14ac:dyDescent="0.15">
      <c r="A328" s="31"/>
      <c r="B328" s="81"/>
      <c r="C328" s="78"/>
      <c r="D328" s="79"/>
      <c r="E328" s="80"/>
      <c r="F328" s="80"/>
      <c r="G328" s="80"/>
    </row>
    <row r="329" spans="1:7" s="15" customFormat="1" x14ac:dyDescent="0.15">
      <c r="A329" s="31"/>
      <c r="B329" s="81"/>
      <c r="C329" s="78"/>
      <c r="D329" s="79"/>
      <c r="E329" s="80"/>
      <c r="F329" s="80"/>
      <c r="G329" s="80"/>
    </row>
    <row r="330" spans="1:7" s="15" customFormat="1" x14ac:dyDescent="0.15">
      <c r="A330" s="31"/>
      <c r="B330" s="81"/>
      <c r="C330" s="78"/>
      <c r="D330" s="79"/>
      <c r="E330" s="80"/>
      <c r="F330" s="80"/>
      <c r="G330" s="80"/>
    </row>
    <row r="331" spans="1:7" s="15" customFormat="1" x14ac:dyDescent="0.15">
      <c r="A331" s="31"/>
      <c r="B331" s="81"/>
      <c r="C331" s="78"/>
      <c r="D331" s="79"/>
      <c r="E331" s="80"/>
      <c r="F331" s="80"/>
      <c r="G331" s="80"/>
    </row>
    <row r="332" spans="1:7" s="15" customFormat="1" x14ac:dyDescent="0.15">
      <c r="A332" s="31"/>
      <c r="B332" s="81"/>
      <c r="C332" s="78"/>
      <c r="D332" s="79"/>
      <c r="E332" s="80"/>
      <c r="F332" s="80"/>
      <c r="G332" s="80"/>
    </row>
    <row r="333" spans="1:7" s="15" customFormat="1" x14ac:dyDescent="0.15">
      <c r="A333" s="31"/>
      <c r="B333" s="81"/>
      <c r="C333" s="78"/>
      <c r="D333" s="79"/>
      <c r="E333" s="80"/>
      <c r="F333" s="80"/>
      <c r="G333" s="80"/>
    </row>
    <row r="334" spans="1:7" s="15" customFormat="1" x14ac:dyDescent="0.15">
      <c r="A334" s="31"/>
      <c r="B334" s="81"/>
      <c r="C334" s="78"/>
      <c r="D334" s="79"/>
      <c r="E334" s="80"/>
      <c r="F334" s="80"/>
      <c r="G334" s="80"/>
    </row>
    <row r="335" spans="1:7" s="15" customFormat="1" x14ac:dyDescent="0.15">
      <c r="A335" s="31"/>
      <c r="B335" s="81"/>
      <c r="C335" s="78"/>
      <c r="D335" s="79"/>
      <c r="E335" s="80"/>
      <c r="F335" s="80"/>
      <c r="G335" s="80"/>
    </row>
    <row r="336" spans="1:7" s="15" customFormat="1" x14ac:dyDescent="0.15">
      <c r="A336" s="31"/>
      <c r="B336" s="81"/>
      <c r="C336" s="78"/>
      <c r="D336" s="79"/>
      <c r="E336" s="80"/>
      <c r="F336" s="80"/>
      <c r="G336" s="80"/>
    </row>
    <row r="337" spans="1:7" s="15" customFormat="1" x14ac:dyDescent="0.15">
      <c r="A337" s="31"/>
      <c r="B337" s="81"/>
      <c r="C337" s="78"/>
      <c r="D337" s="79"/>
      <c r="E337" s="80"/>
      <c r="F337" s="80"/>
      <c r="G337" s="80"/>
    </row>
    <row r="338" spans="1:7" s="15" customFormat="1" x14ac:dyDescent="0.15">
      <c r="A338" s="31"/>
      <c r="B338" s="81"/>
      <c r="C338" s="78"/>
      <c r="D338" s="79"/>
      <c r="E338" s="80"/>
      <c r="F338" s="80"/>
      <c r="G338" s="80"/>
    </row>
    <row r="339" spans="1:7" s="15" customFormat="1" x14ac:dyDescent="0.15">
      <c r="A339" s="31"/>
      <c r="B339" s="81"/>
      <c r="C339" s="78"/>
      <c r="D339" s="79"/>
      <c r="E339" s="80"/>
      <c r="F339" s="80"/>
      <c r="G339" s="80"/>
    </row>
    <row r="340" spans="1:7" s="15" customFormat="1" x14ac:dyDescent="0.15">
      <c r="A340" s="31"/>
      <c r="B340" s="81"/>
      <c r="C340" s="78"/>
      <c r="D340" s="79"/>
      <c r="E340" s="80"/>
      <c r="F340" s="80"/>
      <c r="G340" s="80"/>
    </row>
    <row r="341" spans="1:7" s="15" customFormat="1" x14ac:dyDescent="0.15">
      <c r="A341" s="31"/>
      <c r="B341" s="81"/>
      <c r="C341" s="78"/>
      <c r="D341" s="79"/>
      <c r="E341" s="80"/>
      <c r="F341" s="80"/>
      <c r="G341" s="80"/>
    </row>
    <row r="342" spans="1:7" s="15" customFormat="1" x14ac:dyDescent="0.15">
      <c r="A342" s="31"/>
      <c r="B342" s="81"/>
      <c r="C342" s="78"/>
      <c r="D342" s="79"/>
      <c r="E342" s="80"/>
      <c r="F342" s="80"/>
      <c r="G342" s="80"/>
    </row>
    <row r="343" spans="1:7" s="15" customFormat="1" x14ac:dyDescent="0.15">
      <c r="A343" s="31"/>
      <c r="B343" s="81"/>
      <c r="C343" s="78"/>
      <c r="D343" s="79"/>
      <c r="E343" s="80"/>
      <c r="F343" s="80"/>
      <c r="G343" s="80"/>
    </row>
    <row r="344" spans="1:7" s="15" customFormat="1" x14ac:dyDescent="0.15">
      <c r="A344" s="31"/>
      <c r="B344" s="81"/>
      <c r="C344" s="78"/>
      <c r="D344" s="79"/>
      <c r="E344" s="80"/>
      <c r="F344" s="80"/>
      <c r="G344" s="80"/>
    </row>
    <row r="345" spans="1:7" s="15" customFormat="1" x14ac:dyDescent="0.15">
      <c r="A345" s="31"/>
      <c r="B345" s="81"/>
      <c r="C345" s="78"/>
      <c r="D345" s="79"/>
      <c r="E345" s="80"/>
      <c r="F345" s="80"/>
      <c r="G345" s="80"/>
    </row>
    <row r="346" spans="1:7" s="15" customFormat="1" x14ac:dyDescent="0.15">
      <c r="A346" s="31"/>
      <c r="B346" s="81"/>
      <c r="C346" s="78"/>
      <c r="D346" s="79"/>
      <c r="E346" s="80"/>
      <c r="F346" s="80"/>
      <c r="G346" s="80"/>
    </row>
    <row r="347" spans="1:7" s="15" customFormat="1" x14ac:dyDescent="0.15">
      <c r="A347" s="31"/>
      <c r="B347" s="81"/>
      <c r="C347" s="78"/>
      <c r="D347" s="79"/>
      <c r="E347" s="80"/>
      <c r="F347" s="80"/>
      <c r="G347" s="80"/>
    </row>
    <row r="348" spans="1:7" s="15" customFormat="1" x14ac:dyDescent="0.15">
      <c r="A348" s="31"/>
      <c r="B348" s="81"/>
      <c r="C348" s="78"/>
      <c r="D348" s="79"/>
      <c r="E348" s="80"/>
      <c r="F348" s="80"/>
      <c r="G348" s="80"/>
    </row>
    <row r="349" spans="1:7" s="15" customFormat="1" x14ac:dyDescent="0.15">
      <c r="A349" s="31"/>
      <c r="B349" s="81"/>
      <c r="C349" s="78"/>
      <c r="D349" s="79"/>
      <c r="E349" s="80"/>
      <c r="F349" s="80"/>
      <c r="G349" s="80"/>
    </row>
    <row r="350" spans="1:7" s="15" customFormat="1" x14ac:dyDescent="0.15">
      <c r="A350" s="31"/>
      <c r="B350" s="81"/>
      <c r="C350" s="78"/>
      <c r="D350" s="79"/>
      <c r="E350" s="80"/>
      <c r="F350" s="80"/>
      <c r="G350" s="80"/>
    </row>
    <row r="351" spans="1:7" s="15" customFormat="1" x14ac:dyDescent="0.15">
      <c r="A351" s="31"/>
      <c r="B351" s="81"/>
      <c r="C351" s="78"/>
      <c r="D351" s="79"/>
      <c r="E351" s="80"/>
      <c r="F351" s="80"/>
      <c r="G351" s="80"/>
    </row>
    <row r="352" spans="1:7" s="15" customFormat="1" x14ac:dyDescent="0.15">
      <c r="A352" s="31"/>
      <c r="B352" s="81"/>
      <c r="C352" s="78"/>
      <c r="D352" s="79"/>
      <c r="E352" s="80"/>
      <c r="F352" s="80"/>
      <c r="G352" s="80"/>
    </row>
    <row r="353" spans="1:7" s="15" customFormat="1" x14ac:dyDescent="0.15">
      <c r="A353" s="31"/>
      <c r="B353" s="81"/>
      <c r="C353" s="78"/>
      <c r="D353" s="79"/>
      <c r="E353" s="80"/>
      <c r="F353" s="80"/>
      <c r="G353" s="80"/>
    </row>
    <row r="354" spans="1:7" s="15" customFormat="1" x14ac:dyDescent="0.15">
      <c r="A354" s="31"/>
      <c r="B354" s="81"/>
      <c r="C354" s="78"/>
      <c r="D354" s="79"/>
      <c r="E354" s="80"/>
      <c r="F354" s="80"/>
      <c r="G354" s="80"/>
    </row>
    <row r="355" spans="1:7" s="15" customFormat="1" x14ac:dyDescent="0.15">
      <c r="A355" s="31"/>
      <c r="B355" s="81"/>
      <c r="C355" s="78"/>
      <c r="D355" s="79"/>
      <c r="E355" s="80"/>
      <c r="F355" s="80"/>
      <c r="G355" s="80"/>
    </row>
    <row r="356" spans="1:7" s="15" customFormat="1" x14ac:dyDescent="0.15">
      <c r="A356" s="31"/>
      <c r="B356" s="81"/>
      <c r="C356" s="78"/>
      <c r="D356" s="79"/>
      <c r="E356" s="80"/>
      <c r="F356" s="80"/>
      <c r="G356" s="80"/>
    </row>
    <row r="357" spans="1:7" s="15" customFormat="1" x14ac:dyDescent="0.15">
      <c r="A357" s="31"/>
      <c r="B357" s="81"/>
      <c r="C357" s="78"/>
      <c r="D357" s="79"/>
      <c r="E357" s="80"/>
      <c r="F357" s="80"/>
      <c r="G357" s="80"/>
    </row>
    <row r="358" spans="1:7" s="15" customFormat="1" x14ac:dyDescent="0.15">
      <c r="A358" s="31"/>
      <c r="B358" s="81"/>
      <c r="C358" s="78"/>
      <c r="D358" s="79"/>
      <c r="E358" s="80"/>
      <c r="F358" s="80"/>
      <c r="G358" s="80"/>
    </row>
    <row r="359" spans="1:7" s="15" customFormat="1" x14ac:dyDescent="0.15">
      <c r="A359" s="31"/>
      <c r="B359" s="81"/>
      <c r="C359" s="78"/>
      <c r="D359" s="79"/>
      <c r="E359" s="80"/>
      <c r="F359" s="80"/>
      <c r="G359" s="80"/>
    </row>
    <row r="360" spans="1:7" s="15" customFormat="1" x14ac:dyDescent="0.15">
      <c r="A360" s="31"/>
      <c r="B360" s="81"/>
      <c r="C360" s="78"/>
      <c r="D360" s="79"/>
      <c r="E360" s="80"/>
      <c r="F360" s="80"/>
      <c r="G360" s="80"/>
    </row>
    <row r="361" spans="1:7" s="15" customFormat="1" x14ac:dyDescent="0.15">
      <c r="A361" s="31"/>
      <c r="B361" s="81"/>
      <c r="C361" s="78"/>
      <c r="D361" s="79"/>
      <c r="E361" s="80"/>
      <c r="F361" s="80"/>
      <c r="G361" s="80"/>
    </row>
    <row r="362" spans="1:7" s="15" customFormat="1" x14ac:dyDescent="0.15">
      <c r="A362" s="31"/>
      <c r="B362" s="81"/>
      <c r="C362" s="78"/>
      <c r="D362" s="79"/>
      <c r="E362" s="80"/>
      <c r="F362" s="80"/>
      <c r="G362" s="80"/>
    </row>
    <row r="363" spans="1:7" s="15" customFormat="1" x14ac:dyDescent="0.15">
      <c r="A363" s="31"/>
      <c r="B363" s="81"/>
      <c r="C363" s="78"/>
      <c r="D363" s="79"/>
      <c r="E363" s="80"/>
      <c r="F363" s="80"/>
      <c r="G363" s="80"/>
    </row>
    <row r="364" spans="1:7" s="15" customFormat="1" x14ac:dyDescent="0.15">
      <c r="A364" s="31"/>
      <c r="B364" s="81"/>
      <c r="C364" s="78"/>
      <c r="D364" s="79"/>
      <c r="E364" s="80"/>
      <c r="F364" s="80"/>
      <c r="G364" s="80"/>
    </row>
    <row r="365" spans="1:7" s="15" customFormat="1" x14ac:dyDescent="0.15">
      <c r="A365" s="31"/>
      <c r="B365" s="81"/>
      <c r="C365" s="78"/>
      <c r="D365" s="79"/>
      <c r="E365" s="80"/>
      <c r="F365" s="80"/>
      <c r="G365" s="80"/>
    </row>
    <row r="366" spans="1:7" s="15" customFormat="1" x14ac:dyDescent="0.15">
      <c r="A366" s="31"/>
      <c r="B366" s="81"/>
      <c r="C366" s="78"/>
      <c r="D366" s="79"/>
      <c r="E366" s="80"/>
      <c r="F366" s="80"/>
      <c r="G366" s="80"/>
    </row>
    <row r="367" spans="1:7" s="15" customFormat="1" x14ac:dyDescent="0.15">
      <c r="A367" s="31"/>
      <c r="B367" s="81"/>
      <c r="C367" s="78"/>
      <c r="D367" s="79"/>
      <c r="E367" s="80"/>
      <c r="F367" s="80"/>
      <c r="G367" s="80"/>
    </row>
    <row r="368" spans="1:7" s="15" customFormat="1" x14ac:dyDescent="0.15">
      <c r="A368" s="31"/>
      <c r="B368" s="81"/>
      <c r="C368" s="78"/>
      <c r="D368" s="79"/>
      <c r="E368" s="80"/>
      <c r="F368" s="80"/>
      <c r="G368" s="80"/>
    </row>
    <row r="369" spans="1:8" s="15" customFormat="1" x14ac:dyDescent="0.15">
      <c r="A369" s="31"/>
      <c r="B369" s="81"/>
      <c r="C369" s="78"/>
      <c r="D369" s="79"/>
      <c r="E369" s="80"/>
      <c r="F369" s="80"/>
      <c r="G369" s="80"/>
    </row>
    <row r="370" spans="1:8" s="15" customFormat="1" x14ac:dyDescent="0.15">
      <c r="A370" s="31"/>
      <c r="B370" s="81"/>
      <c r="C370" s="78"/>
      <c r="D370" s="79"/>
      <c r="E370" s="80"/>
      <c r="F370" s="80"/>
      <c r="G370" s="80"/>
    </row>
    <row r="371" spans="1:8" s="15" customFormat="1" x14ac:dyDescent="0.15">
      <c r="A371" s="31"/>
      <c r="B371" s="81"/>
      <c r="C371" s="78"/>
      <c r="D371" s="79"/>
      <c r="E371" s="80"/>
      <c r="F371" s="80"/>
      <c r="G371" s="80"/>
    </row>
    <row r="372" spans="1:8" s="15" customFormat="1" x14ac:dyDescent="0.15">
      <c r="A372" s="31"/>
      <c r="B372" s="81"/>
      <c r="C372" s="78"/>
      <c r="D372" s="79"/>
      <c r="E372" s="80"/>
      <c r="F372" s="80"/>
      <c r="G372" s="80"/>
    </row>
    <row r="373" spans="1:8" s="15" customFormat="1" x14ac:dyDescent="0.15">
      <c r="A373" s="31"/>
      <c r="B373" s="81"/>
      <c r="C373" s="78"/>
      <c r="D373" s="79"/>
      <c r="E373" s="80"/>
      <c r="F373" s="80"/>
      <c r="G373" s="80"/>
    </row>
    <row r="374" spans="1:8" s="15" customFormat="1" x14ac:dyDescent="0.15">
      <c r="A374" s="31"/>
      <c r="B374" s="81"/>
      <c r="C374" s="78"/>
      <c r="D374" s="79"/>
      <c r="E374" s="80"/>
      <c r="F374" s="80"/>
      <c r="G374" s="80"/>
    </row>
    <row r="375" spans="1:8" s="15" customFormat="1" x14ac:dyDescent="0.15">
      <c r="A375" s="31"/>
      <c r="B375" s="81"/>
      <c r="C375" s="78"/>
      <c r="D375" s="79"/>
      <c r="E375" s="80"/>
      <c r="F375" s="80"/>
      <c r="G375" s="80"/>
    </row>
    <row r="376" spans="1:8" s="15" customFormat="1" x14ac:dyDescent="0.15">
      <c r="A376" s="31"/>
      <c r="B376" s="81"/>
      <c r="C376" s="78"/>
      <c r="D376" s="79"/>
      <c r="E376" s="80"/>
      <c r="F376" s="80"/>
      <c r="G376" s="80"/>
    </row>
    <row r="377" spans="1:8" s="15" customFormat="1" x14ac:dyDescent="0.15">
      <c r="A377" s="31"/>
      <c r="B377" s="81"/>
      <c r="C377" s="78"/>
      <c r="D377" s="79"/>
      <c r="E377" s="80"/>
      <c r="F377" s="80"/>
      <c r="G377" s="80"/>
    </row>
    <row r="378" spans="1:8" s="15" customFormat="1" x14ac:dyDescent="0.15">
      <c r="A378" s="31"/>
      <c r="B378" s="81"/>
      <c r="C378" s="78"/>
      <c r="D378" s="79"/>
      <c r="E378" s="80"/>
      <c r="F378" s="80"/>
      <c r="G378" s="80"/>
      <c r="H378" s="11"/>
    </row>
    <row r="379" spans="1:8" s="15" customFormat="1" x14ac:dyDescent="0.15">
      <c r="A379" s="31"/>
      <c r="B379" s="81"/>
      <c r="C379" s="78"/>
      <c r="D379" s="79"/>
      <c r="E379" s="80"/>
      <c r="F379" s="80"/>
      <c r="G379" s="80"/>
      <c r="H379" s="11"/>
    </row>
    <row r="380" spans="1:8" s="15" customFormat="1" x14ac:dyDescent="0.15">
      <c r="A380" s="31"/>
      <c r="B380" s="81"/>
      <c r="C380" s="78"/>
      <c r="D380" s="79"/>
      <c r="E380" s="80"/>
      <c r="F380" s="80"/>
      <c r="G380" s="80"/>
      <c r="H380" s="11"/>
    </row>
    <row r="381" spans="1:8" s="15" customFormat="1" x14ac:dyDescent="0.15">
      <c r="A381" s="31"/>
      <c r="B381" s="81"/>
      <c r="C381" s="78"/>
      <c r="D381" s="79"/>
      <c r="E381" s="80"/>
      <c r="F381" s="80"/>
      <c r="G381" s="80"/>
      <c r="H381" s="11"/>
    </row>
    <row r="382" spans="1:8" s="15" customFormat="1" x14ac:dyDescent="0.15">
      <c r="A382" s="31"/>
      <c r="B382" s="81"/>
      <c r="C382" s="78"/>
      <c r="D382" s="79"/>
      <c r="E382" s="80"/>
      <c r="F382" s="80"/>
      <c r="G382" s="80"/>
      <c r="H382" s="11"/>
    </row>
    <row r="383" spans="1:8" s="15" customFormat="1" x14ac:dyDescent="0.15">
      <c r="A383" s="31"/>
      <c r="B383" s="81"/>
      <c r="C383" s="78"/>
      <c r="D383" s="79"/>
      <c r="E383" s="80"/>
      <c r="F383" s="80"/>
      <c r="G383" s="80"/>
      <c r="H383" s="11"/>
    </row>
    <row r="384" spans="1:8" s="15" customFormat="1" x14ac:dyDescent="0.15">
      <c r="A384" s="31"/>
      <c r="B384" s="81"/>
      <c r="C384" s="78"/>
      <c r="D384" s="79"/>
      <c r="E384" s="80"/>
      <c r="F384" s="80"/>
      <c r="G384" s="80"/>
      <c r="H384" s="11"/>
    </row>
    <row r="385" spans="1:8" s="15" customFormat="1" x14ac:dyDescent="0.15">
      <c r="A385" s="31"/>
      <c r="B385" s="81"/>
      <c r="C385" s="78"/>
      <c r="D385" s="79"/>
      <c r="E385" s="80"/>
      <c r="F385" s="80"/>
      <c r="G385" s="80"/>
      <c r="H385" s="11"/>
    </row>
    <row r="386" spans="1:8" s="15" customFormat="1" x14ac:dyDescent="0.15">
      <c r="A386" s="31"/>
      <c r="B386" s="81"/>
      <c r="C386" s="78"/>
      <c r="D386" s="79"/>
      <c r="E386" s="80"/>
      <c r="F386" s="80"/>
      <c r="G386" s="80"/>
      <c r="H386" s="11"/>
    </row>
    <row r="387" spans="1:8" s="15" customFormat="1" x14ac:dyDescent="0.15">
      <c r="A387" s="31"/>
      <c r="B387" s="81"/>
      <c r="C387" s="78"/>
      <c r="D387" s="79"/>
      <c r="E387" s="80"/>
      <c r="F387" s="80"/>
      <c r="G387" s="80"/>
      <c r="H387" s="11"/>
    </row>
    <row r="388" spans="1:8" s="15" customFormat="1" x14ac:dyDescent="0.15">
      <c r="A388" s="31"/>
      <c r="B388" s="81"/>
      <c r="C388" s="78"/>
      <c r="D388" s="79"/>
      <c r="E388" s="80"/>
      <c r="F388" s="80"/>
      <c r="G388" s="80"/>
      <c r="H388" s="5"/>
    </row>
    <row r="389" spans="1:8" s="15" customFormat="1" x14ac:dyDescent="0.15">
      <c r="A389" s="31"/>
      <c r="B389" s="81"/>
      <c r="C389" s="78"/>
      <c r="D389" s="79"/>
      <c r="E389" s="80"/>
      <c r="F389" s="80"/>
      <c r="G389" s="80"/>
      <c r="H389" s="5"/>
    </row>
    <row r="390" spans="1:8" s="15" customFormat="1" x14ac:dyDescent="0.15">
      <c r="A390" s="31"/>
      <c r="B390" s="81"/>
      <c r="C390" s="78"/>
      <c r="D390" s="79"/>
      <c r="E390" s="80"/>
      <c r="F390" s="80"/>
      <c r="G390" s="80"/>
      <c r="H390" s="5"/>
    </row>
    <row r="391" spans="1:8" s="15" customFormat="1" x14ac:dyDescent="0.15">
      <c r="A391" s="31"/>
      <c r="B391" s="81"/>
      <c r="C391" s="78"/>
      <c r="D391" s="79"/>
      <c r="E391" s="80"/>
      <c r="F391" s="80"/>
      <c r="G391" s="80"/>
      <c r="H391" s="5"/>
    </row>
    <row r="392" spans="1:8" s="15" customFormat="1" x14ac:dyDescent="0.15">
      <c r="A392" s="31"/>
      <c r="B392" s="81"/>
      <c r="C392" s="78"/>
      <c r="D392" s="79"/>
      <c r="E392" s="80"/>
      <c r="F392" s="80"/>
      <c r="G392" s="80"/>
      <c r="H392" s="5"/>
    </row>
    <row r="393" spans="1:8" s="15" customFormat="1" x14ac:dyDescent="0.15">
      <c r="A393" s="31"/>
      <c r="B393" s="81"/>
      <c r="C393" s="78"/>
      <c r="D393" s="79"/>
      <c r="E393" s="80"/>
      <c r="F393" s="80"/>
      <c r="G393" s="80"/>
      <c r="H393" s="5"/>
    </row>
    <row r="394" spans="1:8" s="15" customFormat="1" x14ac:dyDescent="0.15">
      <c r="A394" s="31"/>
      <c r="B394" s="81"/>
      <c r="C394" s="78"/>
      <c r="D394" s="79"/>
      <c r="E394" s="80"/>
      <c r="F394" s="80"/>
      <c r="G394" s="80"/>
      <c r="H394" s="5"/>
    </row>
    <row r="395" spans="1:8" s="15" customFormat="1" x14ac:dyDescent="0.15">
      <c r="A395" s="31"/>
      <c r="B395" s="81"/>
      <c r="C395" s="78"/>
      <c r="D395" s="79"/>
      <c r="E395" s="80"/>
      <c r="F395" s="80"/>
      <c r="G395" s="80"/>
      <c r="H395" s="5"/>
    </row>
    <row r="396" spans="1:8" s="15" customFormat="1" x14ac:dyDescent="0.15">
      <c r="A396" s="31"/>
      <c r="B396" s="81"/>
      <c r="C396" s="78"/>
      <c r="D396" s="79"/>
      <c r="E396" s="80"/>
      <c r="F396" s="80"/>
      <c r="G396" s="80"/>
      <c r="H396" s="5"/>
    </row>
    <row r="397" spans="1:8" s="15" customFormat="1" x14ac:dyDescent="0.15">
      <c r="A397" s="31"/>
      <c r="B397" s="81"/>
      <c r="C397" s="78"/>
      <c r="D397" s="79"/>
      <c r="E397" s="80"/>
      <c r="F397" s="80"/>
      <c r="G397" s="80"/>
      <c r="H397" s="5"/>
    </row>
    <row r="398" spans="1:8" s="15" customFormat="1" x14ac:dyDescent="0.15">
      <c r="A398" s="31"/>
      <c r="B398" s="81"/>
      <c r="C398" s="78"/>
      <c r="D398" s="79"/>
      <c r="E398" s="80"/>
      <c r="F398" s="80"/>
      <c r="G398" s="80"/>
      <c r="H398" s="5"/>
    </row>
    <row r="399" spans="1:8" s="15" customFormat="1" x14ac:dyDescent="0.15">
      <c r="A399" s="31"/>
      <c r="B399" s="81"/>
      <c r="C399" s="78"/>
      <c r="D399" s="79"/>
      <c r="E399" s="80"/>
      <c r="F399" s="80"/>
      <c r="G399" s="80"/>
      <c r="H399" s="5"/>
    </row>
    <row r="400" spans="1:8" x14ac:dyDescent="0.15">
      <c r="A400" s="31"/>
      <c r="B400" s="81"/>
      <c r="G400" s="80"/>
      <c r="H400" s="5"/>
    </row>
    <row r="401" spans="1:8" x14ac:dyDescent="0.15">
      <c r="A401" s="31"/>
      <c r="B401" s="81"/>
      <c r="G401" s="80"/>
      <c r="H401" s="5"/>
    </row>
    <row r="402" spans="1:8" x14ac:dyDescent="0.15">
      <c r="A402" s="31"/>
      <c r="B402" s="81"/>
      <c r="G402" s="80"/>
      <c r="H402" s="5"/>
    </row>
    <row r="403" spans="1:8" x14ac:dyDescent="0.15">
      <c r="A403" s="31"/>
      <c r="B403" s="81"/>
      <c r="G403" s="80"/>
      <c r="H403" s="5"/>
    </row>
    <row r="404" spans="1:8" x14ac:dyDescent="0.15">
      <c r="A404" s="31"/>
      <c r="B404" s="81"/>
      <c r="G404" s="80"/>
      <c r="H404" s="5"/>
    </row>
    <row r="405" spans="1:8" x14ac:dyDescent="0.15">
      <c r="A405" s="31"/>
      <c r="B405" s="81"/>
      <c r="G405" s="80"/>
      <c r="H405" s="5"/>
    </row>
    <row r="406" spans="1:8" x14ac:dyDescent="0.15">
      <c r="A406" s="31"/>
      <c r="B406" s="81"/>
      <c r="G406" s="80"/>
      <c r="H406" s="5"/>
    </row>
    <row r="407" spans="1:8" x14ac:dyDescent="0.15">
      <c r="A407" s="31"/>
      <c r="B407" s="81"/>
      <c r="G407" s="80"/>
      <c r="H407" s="5"/>
    </row>
    <row r="408" spans="1:8" x14ac:dyDescent="0.15">
      <c r="A408" s="31"/>
      <c r="B408" s="81"/>
      <c r="G408" s="80"/>
      <c r="H408" s="5"/>
    </row>
    <row r="409" spans="1:8" x14ac:dyDescent="0.15">
      <c r="A409" s="31"/>
      <c r="B409" s="81"/>
      <c r="G409" s="80"/>
      <c r="H409" s="5"/>
    </row>
    <row r="410" spans="1:8" x14ac:dyDescent="0.15">
      <c r="A410" s="31"/>
      <c r="B410" s="81"/>
      <c r="G410" s="80"/>
    </row>
    <row r="411" spans="1:8" x14ac:dyDescent="0.15">
      <c r="A411" s="31"/>
      <c r="B411" s="81"/>
      <c r="G411" s="80"/>
    </row>
    <row r="412" spans="1:8" x14ac:dyDescent="0.15">
      <c r="A412" s="31"/>
      <c r="B412" s="81"/>
      <c r="G412" s="80"/>
    </row>
    <row r="413" spans="1:8" x14ac:dyDescent="0.15">
      <c r="A413" s="31"/>
      <c r="B413" s="81"/>
      <c r="G413" s="80"/>
    </row>
    <row r="414" spans="1:8" x14ac:dyDescent="0.15">
      <c r="B414" s="81"/>
    </row>
    <row r="415" spans="1:8" x14ac:dyDescent="0.15">
      <c r="B415" s="81"/>
    </row>
    <row r="416" spans="1:8" x14ac:dyDescent="0.15">
      <c r="B416" s="81"/>
    </row>
    <row r="417" spans="2:2" x14ac:dyDescent="0.15">
      <c r="B417" s="81"/>
    </row>
    <row r="471" spans="8:8" x14ac:dyDescent="0.15">
      <c r="H471" s="1"/>
    </row>
    <row r="480" spans="8:8" x14ac:dyDescent="0.15">
      <c r="H480" s="5"/>
    </row>
    <row r="483" spans="1:8" s="1" customFormat="1" x14ac:dyDescent="0.15">
      <c r="A483" s="4"/>
      <c r="B483" s="100"/>
      <c r="C483" s="78"/>
      <c r="D483" s="79"/>
      <c r="E483" s="80"/>
      <c r="F483" s="80"/>
      <c r="G483" s="99"/>
      <c r="H483" s="2"/>
    </row>
    <row r="484" spans="1:8" x14ac:dyDescent="0.15">
      <c r="A484" s="31"/>
      <c r="G484" s="80"/>
    </row>
    <row r="503" spans="8:8" x14ac:dyDescent="0.15">
      <c r="H503" s="1"/>
    </row>
    <row r="504" spans="8:8" x14ac:dyDescent="0.15">
      <c r="H504" s="1"/>
    </row>
    <row r="512" spans="8:8" x14ac:dyDescent="0.15">
      <c r="H512" s="5"/>
    </row>
    <row r="513" spans="1:8" x14ac:dyDescent="0.15">
      <c r="H513" s="5"/>
    </row>
    <row r="515" spans="1:8" s="1" customFormat="1" x14ac:dyDescent="0.15">
      <c r="A515" s="4"/>
      <c r="B515" s="100"/>
      <c r="C515" s="78"/>
      <c r="D515" s="79"/>
      <c r="E515" s="80"/>
      <c r="F515" s="80"/>
      <c r="G515" s="99"/>
      <c r="H515" s="2"/>
    </row>
    <row r="516" spans="1:8" s="1" customFormat="1" x14ac:dyDescent="0.15">
      <c r="A516" s="31"/>
      <c r="B516" s="100"/>
      <c r="C516" s="78"/>
      <c r="D516" s="79"/>
      <c r="E516" s="80"/>
      <c r="F516" s="80"/>
      <c r="G516" s="80"/>
      <c r="H516" s="2"/>
    </row>
    <row r="517" spans="1:8" x14ac:dyDescent="0.15">
      <c r="A517" s="31"/>
      <c r="G517" s="80"/>
    </row>
    <row r="519" spans="1:8" x14ac:dyDescent="0.15">
      <c r="H519" s="5"/>
    </row>
    <row r="520" spans="1:8" x14ac:dyDescent="0.15">
      <c r="H520" s="5"/>
    </row>
    <row r="521" spans="1:8" x14ac:dyDescent="0.15">
      <c r="H521" s="5"/>
    </row>
    <row r="522" spans="1:8" x14ac:dyDescent="0.15">
      <c r="H522" s="5"/>
    </row>
    <row r="523" spans="1:8" x14ac:dyDescent="0.15">
      <c r="A523" s="31"/>
      <c r="G523" s="80"/>
      <c r="H523" s="5"/>
    </row>
    <row r="524" spans="1:8" x14ac:dyDescent="0.15">
      <c r="A524" s="31"/>
      <c r="G524" s="80"/>
      <c r="H524" s="5"/>
    </row>
    <row r="525" spans="1:8" x14ac:dyDescent="0.15">
      <c r="A525" s="31"/>
      <c r="G525" s="80"/>
    </row>
    <row r="526" spans="1:8" x14ac:dyDescent="0.15">
      <c r="A526" s="31"/>
      <c r="G526" s="80"/>
    </row>
    <row r="527" spans="1:8" x14ac:dyDescent="0.15">
      <c r="A527" s="31"/>
      <c r="G527" s="80"/>
    </row>
    <row r="528" spans="1:8" x14ac:dyDescent="0.15">
      <c r="A528" s="31"/>
      <c r="G528" s="80"/>
      <c r="H528" s="5"/>
    </row>
    <row r="529" spans="1:8" x14ac:dyDescent="0.15">
      <c r="H529" s="5"/>
    </row>
    <row r="530" spans="1:8" x14ac:dyDescent="0.15">
      <c r="H530" s="5"/>
    </row>
    <row r="531" spans="1:8" s="5" customFormat="1" x14ac:dyDescent="0.15">
      <c r="A531" s="4"/>
      <c r="B531" s="100"/>
      <c r="C531" s="78"/>
      <c r="D531" s="79"/>
      <c r="E531" s="80"/>
      <c r="F531" s="80"/>
      <c r="G531" s="99"/>
    </row>
    <row r="532" spans="1:8" s="5" customFormat="1" x14ac:dyDescent="0.15">
      <c r="A532" s="31"/>
      <c r="B532" s="100"/>
      <c r="C532" s="78"/>
      <c r="D532" s="79"/>
      <c r="E532" s="80"/>
      <c r="F532" s="80"/>
      <c r="G532" s="80"/>
    </row>
    <row r="533" spans="1:8" s="5" customFormat="1" x14ac:dyDescent="0.15">
      <c r="A533" s="31"/>
      <c r="B533" s="100"/>
      <c r="C533" s="78"/>
      <c r="D533" s="79"/>
      <c r="E533" s="80"/>
      <c r="F533" s="80"/>
      <c r="G533" s="80"/>
    </row>
    <row r="534" spans="1:8" s="5" customFormat="1" x14ac:dyDescent="0.15">
      <c r="A534" s="31"/>
      <c r="B534" s="100"/>
      <c r="C534" s="78"/>
      <c r="D534" s="79"/>
      <c r="E534" s="80"/>
      <c r="F534" s="80"/>
      <c r="G534" s="80"/>
      <c r="H534" s="2"/>
    </row>
    <row r="535" spans="1:8" s="5" customFormat="1" x14ac:dyDescent="0.15">
      <c r="A535" s="31"/>
      <c r="B535" s="100"/>
      <c r="C535" s="78"/>
      <c r="D535" s="79"/>
      <c r="E535" s="80"/>
      <c r="F535" s="80"/>
      <c r="G535" s="80"/>
      <c r="H535" s="2"/>
    </row>
    <row r="536" spans="1:8" s="5" customFormat="1" x14ac:dyDescent="0.15">
      <c r="A536" s="31"/>
      <c r="B536" s="100"/>
      <c r="C536" s="78"/>
      <c r="D536" s="79"/>
      <c r="E536" s="80"/>
      <c r="F536" s="80"/>
      <c r="G536" s="80"/>
      <c r="H536" s="2"/>
    </row>
    <row r="537" spans="1:8" x14ac:dyDescent="0.15">
      <c r="A537" s="31"/>
      <c r="G537" s="80"/>
    </row>
    <row r="574" spans="8:8" x14ac:dyDescent="0.15">
      <c r="H574" s="5"/>
    </row>
    <row r="578" spans="1:8" x14ac:dyDescent="0.15">
      <c r="A578" s="31"/>
      <c r="G578" s="80"/>
    </row>
    <row r="583" spans="1:8" x14ac:dyDescent="0.15">
      <c r="H583" s="5"/>
    </row>
    <row r="586" spans="1:8" s="5" customFormat="1" x14ac:dyDescent="0.15">
      <c r="A586" s="4"/>
      <c r="B586" s="100"/>
      <c r="C586" s="78"/>
      <c r="D586" s="79"/>
      <c r="E586" s="80"/>
      <c r="F586" s="80"/>
      <c r="G586" s="99"/>
      <c r="H586" s="2"/>
    </row>
    <row r="587" spans="1:8" x14ac:dyDescent="0.15">
      <c r="A587" s="31"/>
      <c r="G587" s="80"/>
    </row>
  </sheetData>
  <mergeCells count="54">
    <mergeCell ref="A45:B45"/>
    <mergeCell ref="B79:G79"/>
    <mergeCell ref="B81:G81"/>
    <mergeCell ref="B83:G83"/>
    <mergeCell ref="B85:G85"/>
    <mergeCell ref="A69:G69"/>
    <mergeCell ref="B71:G71"/>
    <mergeCell ref="B73:G73"/>
    <mergeCell ref="B75:G75"/>
    <mergeCell ref="B77:G77"/>
    <mergeCell ref="A46:B46"/>
    <mergeCell ref="A47:B47"/>
    <mergeCell ref="A48:B48"/>
    <mergeCell ref="A49:B49"/>
    <mergeCell ref="A50:B50"/>
    <mergeCell ref="A51:B51"/>
    <mergeCell ref="A52:B52"/>
    <mergeCell ref="A53:B53"/>
    <mergeCell ref="A54:B54"/>
    <mergeCell ref="A63:B63"/>
    <mergeCell ref="A55:B55"/>
    <mergeCell ref="A56:B56"/>
    <mergeCell ref="A57:B57"/>
    <mergeCell ref="A58:B58"/>
    <mergeCell ref="A62:B62"/>
    <mergeCell ref="A40:B40"/>
    <mergeCell ref="A41:B41"/>
    <mergeCell ref="A43:B43"/>
    <mergeCell ref="A44:B44"/>
    <mergeCell ref="A34:B34"/>
    <mergeCell ref="A35:B35"/>
    <mergeCell ref="A36:B36"/>
    <mergeCell ref="A37:B37"/>
    <mergeCell ref="A38:B38"/>
    <mergeCell ref="A39:B39"/>
    <mergeCell ref="A16:B16"/>
    <mergeCell ref="A17:B17"/>
    <mergeCell ref="A32:B32"/>
    <mergeCell ref="A33:B33"/>
    <mergeCell ref="A26:G26"/>
    <mergeCell ref="A18:G18"/>
    <mergeCell ref="A20:G20"/>
    <mergeCell ref="A22:G22"/>
    <mergeCell ref="A24:G24"/>
    <mergeCell ref="A28:H28"/>
    <mergeCell ref="A30:G30"/>
    <mergeCell ref="A14:B14"/>
    <mergeCell ref="A15:B15"/>
    <mergeCell ref="A1:B1"/>
    <mergeCell ref="A5:B5"/>
    <mergeCell ref="A13:B13"/>
    <mergeCell ref="A2:B2"/>
    <mergeCell ref="A3:B3"/>
    <mergeCell ref="A4:B4"/>
  </mergeCells>
  <printOptions horizontalCentered="1" verticalCentered="1"/>
  <pageMargins left="0.70866141732283472" right="0.70866141732283472" top="0.74803149606299213" bottom="0.74803149606299213" header="0.31496062992125984" footer="0.31496062992125984"/>
  <pageSetup paperSize="9" scale="76" firstPageNumber="2" orientation="portrait" blackAndWhite="1" useFirstPageNumber="1" r:id="rId1"/>
  <headerFooter differentFirst="1">
    <oddHeader>&amp;L&amp;K608097173/175 Glasgow Road, Clydebank, Glasgow&amp;R&amp;K608097Schedule of Dilapidations</oddHeader>
    <oddFooter>&amp;L&amp;K608097Melville Gomes Associates&amp;R&amp;K608097Chartered Building Surveyors</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49967-E22E-43CC-B48C-4722048D5F72}">
  <sheetPr>
    <tabColor theme="3" tint="0.39997558519241921"/>
  </sheetPr>
  <dimension ref="A1:M626"/>
  <sheetViews>
    <sheetView zoomScaleNormal="100" zoomScaleSheetLayoutView="100" zoomScalePageLayoutView="89" workbookViewId="0">
      <selection activeCell="B1" sqref="B1:H1"/>
    </sheetView>
  </sheetViews>
  <sheetFormatPr baseColWidth="10" defaultColWidth="5.6640625" defaultRowHeight="13" x14ac:dyDescent="0.15"/>
  <cols>
    <col min="1" max="1" width="8" style="7" customWidth="1"/>
    <col min="2" max="2" width="8.33203125" style="4" customWidth="1"/>
    <col min="3" max="3" width="39.83203125" style="5" customWidth="1"/>
    <col min="4" max="4" width="34.83203125" style="5" customWidth="1"/>
    <col min="5" max="5" width="6" style="8" customWidth="1"/>
    <col min="6" max="6" width="5.33203125" style="9" customWidth="1"/>
    <col min="7" max="7" width="10.33203125" style="10" customWidth="1"/>
    <col min="8" max="8" width="11" style="20" customWidth="1"/>
    <col min="9" max="16384" width="5.6640625" style="2"/>
  </cols>
  <sheetData>
    <row r="1" spans="1:12" s="6" customFormat="1" ht="30" x14ac:dyDescent="0.15">
      <c r="A1" s="32" t="s">
        <v>0</v>
      </c>
      <c r="B1" s="30" t="s">
        <v>1</v>
      </c>
      <c r="C1" s="23" t="s">
        <v>2</v>
      </c>
      <c r="D1" s="23" t="s">
        <v>3</v>
      </c>
      <c r="E1" s="23" t="s">
        <v>4</v>
      </c>
      <c r="F1" s="24" t="s">
        <v>5</v>
      </c>
      <c r="G1" s="25" t="s">
        <v>6</v>
      </c>
      <c r="H1" s="25" t="s">
        <v>7</v>
      </c>
    </row>
    <row r="2" spans="1:12" s="15" customFormat="1" x14ac:dyDescent="0.15">
      <c r="A2" s="7"/>
      <c r="B2" s="31"/>
      <c r="C2" s="11"/>
      <c r="D2" s="11"/>
      <c r="E2" s="8"/>
      <c r="F2" s="8"/>
      <c r="G2" s="10"/>
      <c r="H2" s="10"/>
      <c r="I2" s="11"/>
      <c r="J2" s="11"/>
      <c r="K2" s="11"/>
      <c r="L2" s="11"/>
    </row>
    <row r="3" spans="1:12" s="15" customFormat="1" ht="14" x14ac:dyDescent="0.15">
      <c r="A3" s="7"/>
      <c r="B3" s="31"/>
      <c r="C3" s="14" t="s">
        <v>329</v>
      </c>
      <c r="D3" s="11"/>
      <c r="E3" s="8"/>
      <c r="F3" s="8"/>
      <c r="G3" s="10"/>
      <c r="H3" s="10"/>
      <c r="I3" s="11"/>
      <c r="J3" s="11"/>
      <c r="K3" s="11"/>
      <c r="L3" s="11"/>
    </row>
    <row r="4" spans="1:12" s="15" customFormat="1" x14ac:dyDescent="0.15">
      <c r="A4" s="7"/>
      <c r="B4" s="31"/>
      <c r="C4" s="11"/>
      <c r="D4" s="11"/>
      <c r="E4" s="8"/>
      <c r="F4" s="8"/>
      <c r="G4" s="10"/>
      <c r="H4" s="10"/>
      <c r="I4" s="11"/>
      <c r="J4" s="11"/>
      <c r="K4" s="11"/>
      <c r="L4" s="11"/>
    </row>
    <row r="5" spans="1:12" s="15" customFormat="1" ht="14" x14ac:dyDescent="0.15">
      <c r="A5" s="3">
        <v>1</v>
      </c>
      <c r="B5" s="31"/>
      <c r="C5" s="14" t="s">
        <v>241</v>
      </c>
      <c r="D5" s="11"/>
      <c r="E5" s="8"/>
      <c r="F5" s="8"/>
      <c r="G5" s="10"/>
      <c r="H5" s="10"/>
      <c r="I5" s="11"/>
      <c r="J5" s="11"/>
      <c r="K5" s="11"/>
      <c r="L5" s="11"/>
    </row>
    <row r="6" spans="1:12" s="15" customFormat="1" x14ac:dyDescent="0.15">
      <c r="A6" s="3"/>
      <c r="B6" s="31"/>
      <c r="C6" s="14"/>
      <c r="D6" s="11"/>
      <c r="E6" s="8"/>
      <c r="F6" s="8"/>
      <c r="G6" s="10"/>
      <c r="H6" s="10"/>
      <c r="I6" s="11"/>
      <c r="J6" s="11"/>
      <c r="K6" s="11"/>
      <c r="L6" s="11"/>
    </row>
    <row r="7" spans="1:12" s="15" customFormat="1" ht="14" x14ac:dyDescent="0.15">
      <c r="A7" s="3"/>
      <c r="B7" s="31"/>
      <c r="C7" s="14" t="s">
        <v>334</v>
      </c>
      <c r="D7" s="11"/>
      <c r="E7" s="8"/>
      <c r="F7" s="8"/>
      <c r="G7" s="10"/>
      <c r="H7" s="10"/>
      <c r="I7" s="11"/>
      <c r="J7" s="11"/>
      <c r="K7" s="11"/>
      <c r="L7" s="11"/>
    </row>
    <row r="8" spans="1:12" s="15" customFormat="1" x14ac:dyDescent="0.15">
      <c r="A8" s="3"/>
      <c r="B8" s="31"/>
      <c r="C8" s="14"/>
      <c r="D8" s="11"/>
      <c r="E8" s="8"/>
      <c r="F8" s="8"/>
      <c r="G8" s="10"/>
      <c r="H8" s="10"/>
      <c r="I8" s="11"/>
      <c r="J8" s="11"/>
      <c r="K8" s="11"/>
      <c r="L8" s="11"/>
    </row>
    <row r="9" spans="1:12" s="15" customFormat="1" ht="42" x14ac:dyDescent="0.15">
      <c r="A9" s="7">
        <v>1.01</v>
      </c>
      <c r="B9" s="31" t="s">
        <v>743</v>
      </c>
      <c r="C9" s="11" t="s">
        <v>511</v>
      </c>
      <c r="D9" s="11" t="s">
        <v>333</v>
      </c>
      <c r="E9" s="8" t="s">
        <v>8</v>
      </c>
      <c r="F9" s="8"/>
      <c r="G9" s="10"/>
      <c r="H9" s="10">
        <v>800</v>
      </c>
      <c r="I9" s="11"/>
      <c r="J9" s="11"/>
      <c r="K9" s="11"/>
      <c r="L9" s="11"/>
    </row>
    <row r="10" spans="1:12" s="15" customFormat="1" x14ac:dyDescent="0.15">
      <c r="A10" s="3"/>
      <c r="B10" s="31"/>
      <c r="C10" s="11"/>
      <c r="D10" s="11"/>
      <c r="E10" s="8"/>
      <c r="F10" s="8"/>
      <c r="G10" s="10"/>
      <c r="H10" s="10"/>
      <c r="I10" s="11"/>
      <c r="J10" s="11"/>
      <c r="K10" s="11"/>
      <c r="L10" s="11"/>
    </row>
    <row r="11" spans="1:12" s="15" customFormat="1" ht="28" x14ac:dyDescent="0.15">
      <c r="A11" s="7">
        <v>1.02</v>
      </c>
      <c r="B11" s="31" t="s">
        <v>743</v>
      </c>
      <c r="C11" s="11" t="s">
        <v>332</v>
      </c>
      <c r="D11" s="11" t="s">
        <v>242</v>
      </c>
      <c r="E11" s="8" t="s">
        <v>11</v>
      </c>
      <c r="F11" s="8">
        <v>128</v>
      </c>
      <c r="G11" s="10">
        <v>10</v>
      </c>
      <c r="H11" s="10">
        <f>SUM(F11*G11)</f>
        <v>1280</v>
      </c>
      <c r="I11" s="11"/>
      <c r="J11" s="11"/>
      <c r="K11" s="11"/>
      <c r="L11" s="11"/>
    </row>
    <row r="12" spans="1:12" s="15" customFormat="1" x14ac:dyDescent="0.15">
      <c r="A12" s="7"/>
      <c r="B12" s="31"/>
      <c r="C12" s="11"/>
      <c r="D12" s="11"/>
      <c r="E12" s="8"/>
      <c r="F12" s="8"/>
      <c r="G12" s="10"/>
      <c r="H12" s="10"/>
      <c r="I12" s="11"/>
      <c r="J12" s="11"/>
      <c r="K12" s="11"/>
      <c r="L12" s="11"/>
    </row>
    <row r="13" spans="1:12" s="15" customFormat="1" ht="28" x14ac:dyDescent="0.15">
      <c r="A13" s="7">
        <v>1.03</v>
      </c>
      <c r="B13" s="31" t="s">
        <v>743</v>
      </c>
      <c r="C13" s="11" t="s">
        <v>537</v>
      </c>
      <c r="D13" s="11" t="s">
        <v>243</v>
      </c>
      <c r="E13" s="8" t="s">
        <v>8</v>
      </c>
      <c r="F13" s="8"/>
      <c r="G13" s="10"/>
      <c r="H13" s="10">
        <v>500</v>
      </c>
      <c r="I13" s="11"/>
      <c r="J13" s="11"/>
      <c r="K13" s="11"/>
      <c r="L13" s="11"/>
    </row>
    <row r="14" spans="1:12" s="15" customFormat="1" x14ac:dyDescent="0.15">
      <c r="A14" s="3"/>
      <c r="B14" s="31"/>
      <c r="C14" s="11"/>
      <c r="D14" s="11"/>
      <c r="E14" s="8"/>
      <c r="F14" s="8"/>
      <c r="G14" s="10"/>
      <c r="H14" s="10"/>
      <c r="I14" s="11"/>
      <c r="J14" s="11"/>
      <c r="K14" s="11"/>
      <c r="L14" s="11"/>
    </row>
    <row r="15" spans="1:12" s="15" customFormat="1" ht="56" x14ac:dyDescent="0.15">
      <c r="A15" s="7">
        <v>1.04</v>
      </c>
      <c r="B15" s="31" t="s">
        <v>744</v>
      </c>
      <c r="C15" s="11" t="s">
        <v>763</v>
      </c>
      <c r="D15" s="11" t="s">
        <v>465</v>
      </c>
      <c r="E15" s="8" t="s">
        <v>11</v>
      </c>
      <c r="F15" s="8">
        <v>26</v>
      </c>
      <c r="G15" s="10">
        <v>40</v>
      </c>
      <c r="H15" s="10">
        <f>SUM(F15*G15)</f>
        <v>1040</v>
      </c>
      <c r="I15" s="11"/>
      <c r="J15" s="11"/>
      <c r="K15" s="11"/>
      <c r="L15" s="11"/>
    </row>
    <row r="16" spans="1:12" s="15" customFormat="1" x14ac:dyDescent="0.15">
      <c r="A16" s="7"/>
      <c r="B16" s="31"/>
      <c r="C16" s="11"/>
      <c r="D16" s="11"/>
      <c r="E16" s="8"/>
      <c r="F16" s="8"/>
      <c r="G16" s="10"/>
      <c r="H16" s="10"/>
      <c r="I16" s="11"/>
      <c r="J16" s="11"/>
      <c r="K16" s="11"/>
      <c r="L16" s="11"/>
    </row>
    <row r="17" spans="1:12" s="15" customFormat="1" ht="56" x14ac:dyDescent="0.15">
      <c r="A17" s="7">
        <v>1.05</v>
      </c>
      <c r="B17" s="31" t="s">
        <v>744</v>
      </c>
      <c r="C17" s="11" t="s">
        <v>764</v>
      </c>
      <c r="D17" s="11" t="s">
        <v>465</v>
      </c>
      <c r="E17" s="8" t="s">
        <v>11</v>
      </c>
      <c r="F17" s="8">
        <v>27</v>
      </c>
      <c r="G17" s="10">
        <v>45</v>
      </c>
      <c r="H17" s="10">
        <f>SUM(F17*G17)</f>
        <v>1215</v>
      </c>
      <c r="I17" s="11"/>
      <c r="J17" s="11"/>
      <c r="K17" s="11"/>
      <c r="L17" s="11"/>
    </row>
    <row r="18" spans="1:12" s="15" customFormat="1" x14ac:dyDescent="0.15">
      <c r="A18" s="7"/>
      <c r="B18" s="31"/>
      <c r="C18" s="11"/>
      <c r="D18" s="11"/>
      <c r="E18" s="8"/>
      <c r="F18" s="8"/>
      <c r="G18" s="10"/>
      <c r="H18" s="10"/>
      <c r="I18" s="11"/>
      <c r="J18" s="11"/>
      <c r="K18" s="11"/>
      <c r="L18" s="11"/>
    </row>
    <row r="19" spans="1:12" s="15" customFormat="1" ht="42" x14ac:dyDescent="0.15">
      <c r="A19" s="7">
        <v>1.06</v>
      </c>
      <c r="B19" s="31" t="s">
        <v>743</v>
      </c>
      <c r="C19" s="11" t="s">
        <v>464</v>
      </c>
      <c r="D19" s="11" t="s">
        <v>466</v>
      </c>
      <c r="E19" s="8" t="s">
        <v>8</v>
      </c>
      <c r="F19" s="8"/>
      <c r="G19" s="10"/>
      <c r="H19" s="10">
        <v>250</v>
      </c>
      <c r="I19" s="11"/>
      <c r="J19" s="11"/>
      <c r="K19" s="11"/>
      <c r="L19" s="11"/>
    </row>
    <row r="20" spans="1:12" s="15" customFormat="1" x14ac:dyDescent="0.15">
      <c r="A20" s="7"/>
      <c r="B20" s="31"/>
      <c r="C20" s="11"/>
      <c r="D20" s="11"/>
      <c r="E20" s="8"/>
      <c r="F20" s="8"/>
      <c r="G20" s="10"/>
      <c r="H20" s="10"/>
      <c r="I20" s="11"/>
      <c r="J20" s="11"/>
      <c r="K20" s="11"/>
      <c r="L20" s="11"/>
    </row>
    <row r="21" spans="1:12" s="15" customFormat="1" ht="42" x14ac:dyDescent="0.15">
      <c r="A21" s="7">
        <v>1.07</v>
      </c>
      <c r="B21" s="31" t="s">
        <v>743</v>
      </c>
      <c r="C21" s="11" t="s">
        <v>463</v>
      </c>
      <c r="D21" s="11" t="s">
        <v>466</v>
      </c>
      <c r="E21" s="8" t="s">
        <v>8</v>
      </c>
      <c r="F21" s="8"/>
      <c r="G21" s="10"/>
      <c r="H21" s="10">
        <v>250</v>
      </c>
      <c r="I21" s="11"/>
      <c r="J21" s="11"/>
      <c r="K21" s="11"/>
      <c r="L21" s="11"/>
    </row>
    <row r="22" spans="1:12" s="15" customFormat="1" x14ac:dyDescent="0.15">
      <c r="A22" s="7"/>
      <c r="B22" s="31"/>
      <c r="C22" s="11"/>
      <c r="D22" s="11"/>
      <c r="E22" s="8"/>
      <c r="F22" s="8"/>
      <c r="G22" s="10"/>
      <c r="H22" s="10"/>
      <c r="I22" s="11"/>
      <c r="J22" s="11"/>
      <c r="K22" s="11"/>
      <c r="L22" s="11"/>
    </row>
    <row r="23" spans="1:12" s="15" customFormat="1" ht="14" x14ac:dyDescent="0.15">
      <c r="A23" s="3"/>
      <c r="B23" s="31"/>
      <c r="C23" s="14" t="s">
        <v>348</v>
      </c>
      <c r="D23" s="11"/>
      <c r="E23" s="8"/>
      <c r="F23" s="8"/>
      <c r="G23" s="10"/>
      <c r="H23" s="10"/>
      <c r="I23" s="11"/>
      <c r="J23" s="11"/>
      <c r="K23" s="11"/>
      <c r="L23" s="11"/>
    </row>
    <row r="24" spans="1:12" s="15" customFormat="1" x14ac:dyDescent="0.15">
      <c r="A24" s="7"/>
      <c r="B24" s="31"/>
      <c r="C24" s="11"/>
      <c r="D24" s="11"/>
      <c r="E24" s="8"/>
      <c r="F24" s="8"/>
      <c r="G24" s="10"/>
      <c r="H24" s="10"/>
      <c r="I24" s="11"/>
      <c r="J24" s="11"/>
      <c r="K24" s="11"/>
      <c r="L24" s="11"/>
    </row>
    <row r="25" spans="1:12" s="15" customFormat="1" ht="56" x14ac:dyDescent="0.15">
      <c r="A25" s="7">
        <v>1.08</v>
      </c>
      <c r="B25" s="31" t="s">
        <v>743</v>
      </c>
      <c r="C25" s="11" t="s">
        <v>335</v>
      </c>
      <c r="D25" s="11" t="s">
        <v>467</v>
      </c>
      <c r="E25" s="8" t="s">
        <v>8</v>
      </c>
      <c r="F25" s="8"/>
      <c r="G25" s="10"/>
      <c r="H25" s="10">
        <v>250</v>
      </c>
      <c r="I25" s="5"/>
      <c r="J25" s="11"/>
      <c r="K25" s="11"/>
      <c r="L25" s="11"/>
    </row>
    <row r="26" spans="1:12" s="15" customFormat="1" x14ac:dyDescent="0.15">
      <c r="A26" s="7"/>
      <c r="B26" s="31"/>
      <c r="C26" s="11"/>
      <c r="D26" s="11"/>
      <c r="E26" s="8"/>
      <c r="F26" s="8"/>
      <c r="G26" s="10"/>
      <c r="H26" s="10"/>
      <c r="I26" s="11"/>
      <c r="J26" s="11"/>
      <c r="K26" s="11"/>
      <c r="L26" s="11"/>
    </row>
    <row r="27" spans="1:12" s="15" customFormat="1" ht="16" x14ac:dyDescent="0.15">
      <c r="A27" s="7">
        <v>1.0900000000000001</v>
      </c>
      <c r="B27" s="31" t="s">
        <v>743</v>
      </c>
      <c r="C27" s="11" t="s">
        <v>765</v>
      </c>
      <c r="D27" s="11" t="s">
        <v>336</v>
      </c>
      <c r="E27" s="8" t="s">
        <v>339</v>
      </c>
      <c r="F27" s="9">
        <v>156</v>
      </c>
      <c r="G27" s="10">
        <v>5</v>
      </c>
      <c r="H27" s="10">
        <f>SUM(F27*G27)</f>
        <v>780</v>
      </c>
      <c r="I27" s="11"/>
      <c r="J27" s="11"/>
      <c r="K27" s="11"/>
      <c r="L27" s="11"/>
    </row>
    <row r="28" spans="1:12" s="15" customFormat="1" x14ac:dyDescent="0.15">
      <c r="A28" s="7"/>
      <c r="B28" s="31"/>
      <c r="C28" s="14"/>
      <c r="E28" s="8"/>
      <c r="F28" s="9"/>
      <c r="G28" s="10"/>
      <c r="H28" s="10"/>
      <c r="I28" s="11"/>
      <c r="J28" s="11"/>
      <c r="K28" s="11"/>
      <c r="L28" s="11"/>
    </row>
    <row r="29" spans="1:12" s="15" customFormat="1" ht="28" x14ac:dyDescent="0.15">
      <c r="A29" s="7">
        <v>1.1000000000000001</v>
      </c>
      <c r="B29" s="31" t="s">
        <v>744</v>
      </c>
      <c r="C29" s="11" t="s">
        <v>337</v>
      </c>
      <c r="D29" s="11" t="s">
        <v>338</v>
      </c>
      <c r="E29" s="8" t="s">
        <v>11</v>
      </c>
      <c r="F29" s="9">
        <v>44</v>
      </c>
      <c r="G29" s="10">
        <v>25</v>
      </c>
      <c r="H29" s="10">
        <f>SUM(F29*G29)</f>
        <v>1100</v>
      </c>
      <c r="I29" s="11"/>
      <c r="J29" s="11"/>
      <c r="K29" s="11"/>
      <c r="L29" s="11"/>
    </row>
    <row r="30" spans="1:12" s="11" customFormat="1" x14ac:dyDescent="0.15">
      <c r="A30" s="7"/>
      <c r="B30" s="31"/>
      <c r="E30" s="8"/>
      <c r="F30" s="8"/>
      <c r="G30" s="10"/>
      <c r="H30" s="10"/>
      <c r="I30" s="9"/>
      <c r="J30" s="10"/>
      <c r="K30" s="10"/>
    </row>
    <row r="31" spans="1:12" s="11" customFormat="1" ht="28" x14ac:dyDescent="0.15">
      <c r="A31" s="7">
        <v>1.1100000000000001</v>
      </c>
      <c r="B31" s="31" t="s">
        <v>743</v>
      </c>
      <c r="C31" s="11" t="s">
        <v>777</v>
      </c>
      <c r="D31" s="11" t="s">
        <v>766</v>
      </c>
      <c r="E31" s="8" t="s">
        <v>11</v>
      </c>
      <c r="F31" s="8">
        <v>44</v>
      </c>
      <c r="G31" s="10">
        <v>12</v>
      </c>
      <c r="H31" s="10">
        <f>SUM(F31*G31)</f>
        <v>528</v>
      </c>
      <c r="I31" s="9"/>
      <c r="J31" s="10"/>
      <c r="K31" s="10"/>
    </row>
    <row r="32" spans="1:12" s="11" customFormat="1" x14ac:dyDescent="0.15">
      <c r="A32" s="7"/>
      <c r="B32" s="31"/>
      <c r="E32" s="8"/>
      <c r="F32" s="8"/>
      <c r="G32" s="10"/>
      <c r="H32" s="10"/>
      <c r="I32" s="9"/>
      <c r="J32" s="10"/>
      <c r="K32" s="10"/>
    </row>
    <row r="33" spans="1:11" s="11" customFormat="1" ht="14" x14ac:dyDescent="0.15">
      <c r="A33" s="7"/>
      <c r="B33" s="31"/>
      <c r="C33" s="14" t="s">
        <v>468</v>
      </c>
      <c r="E33" s="8"/>
      <c r="F33" s="8"/>
      <c r="G33" s="10"/>
      <c r="H33" s="10"/>
      <c r="I33" s="9"/>
      <c r="J33" s="10"/>
      <c r="K33" s="10"/>
    </row>
    <row r="34" spans="1:11" s="15" customFormat="1" x14ac:dyDescent="0.15">
      <c r="A34" s="7"/>
      <c r="B34" s="31"/>
      <c r="C34" s="11"/>
      <c r="D34" s="11"/>
      <c r="E34" s="8"/>
      <c r="F34" s="8"/>
      <c r="G34" s="10"/>
      <c r="H34" s="10"/>
    </row>
    <row r="35" spans="1:11" s="15" customFormat="1" ht="14" x14ac:dyDescent="0.15">
      <c r="A35" s="3">
        <v>2</v>
      </c>
      <c r="B35" s="31"/>
      <c r="C35" s="14" t="s">
        <v>330</v>
      </c>
      <c r="D35" s="11"/>
      <c r="E35" s="8"/>
      <c r="F35" s="8"/>
      <c r="G35" s="10"/>
      <c r="H35" s="10"/>
    </row>
    <row r="36" spans="1:11" s="15" customFormat="1" x14ac:dyDescent="0.15">
      <c r="A36" s="7"/>
      <c r="B36" s="31"/>
      <c r="C36" s="14"/>
      <c r="D36" s="11"/>
      <c r="E36" s="8"/>
      <c r="F36" s="8"/>
      <c r="G36" s="10"/>
      <c r="H36" s="10"/>
    </row>
    <row r="37" spans="1:11" s="15" customFormat="1" ht="28" x14ac:dyDescent="0.15">
      <c r="A37" s="7">
        <v>2.0099999999999998</v>
      </c>
      <c r="B37" s="31" t="s">
        <v>745</v>
      </c>
      <c r="C37" s="11" t="s">
        <v>512</v>
      </c>
      <c r="D37" s="11" t="s">
        <v>384</v>
      </c>
      <c r="E37" s="8" t="s">
        <v>10</v>
      </c>
      <c r="F37" s="8">
        <v>3</v>
      </c>
      <c r="G37" s="10">
        <v>40</v>
      </c>
      <c r="H37" s="10">
        <f>SUM(F37*G37)</f>
        <v>120</v>
      </c>
    </row>
    <row r="38" spans="1:11" s="15" customFormat="1" x14ac:dyDescent="0.15">
      <c r="A38" s="7"/>
      <c r="B38" s="31"/>
      <c r="C38" s="14"/>
      <c r="D38" s="11"/>
      <c r="E38" s="8"/>
      <c r="F38" s="8"/>
      <c r="G38" s="10"/>
      <c r="H38" s="10"/>
    </row>
    <row r="39" spans="1:11" s="15" customFormat="1" ht="14" x14ac:dyDescent="0.15">
      <c r="A39" s="7">
        <v>2.02</v>
      </c>
      <c r="B39" s="31" t="s">
        <v>743</v>
      </c>
      <c r="C39" s="11" t="s">
        <v>767</v>
      </c>
      <c r="D39" s="11" t="s">
        <v>768</v>
      </c>
      <c r="E39" s="8" t="s">
        <v>8</v>
      </c>
      <c r="F39" s="8"/>
      <c r="G39" s="10"/>
      <c r="H39" s="10">
        <v>1000</v>
      </c>
    </row>
    <row r="40" spans="1:11" s="15" customFormat="1" x14ac:dyDescent="0.15">
      <c r="A40" s="7"/>
      <c r="B40" s="31"/>
      <c r="C40" s="14"/>
      <c r="D40" s="11"/>
      <c r="E40" s="8"/>
      <c r="F40" s="8"/>
      <c r="G40" s="10"/>
      <c r="H40" s="10"/>
    </row>
    <row r="41" spans="1:11" s="15" customFormat="1" ht="56" x14ac:dyDescent="0.15">
      <c r="A41" s="7">
        <v>2.0299999999999998</v>
      </c>
      <c r="B41" s="31" t="s">
        <v>743</v>
      </c>
      <c r="C41" s="11" t="s">
        <v>381</v>
      </c>
      <c r="D41" s="11" t="s">
        <v>382</v>
      </c>
      <c r="E41" s="48" t="s">
        <v>76</v>
      </c>
      <c r="F41" s="8">
        <v>23</v>
      </c>
      <c r="G41" s="10">
        <v>500</v>
      </c>
      <c r="H41" s="10">
        <f>SUM(F41*G41)</f>
        <v>11500</v>
      </c>
    </row>
    <row r="42" spans="1:11" s="15" customFormat="1" x14ac:dyDescent="0.15">
      <c r="A42" s="7"/>
      <c r="B42" s="31"/>
      <c r="C42" s="11"/>
      <c r="D42" s="11"/>
      <c r="E42" s="48"/>
      <c r="F42" s="8"/>
      <c r="G42" s="10"/>
      <c r="H42" s="10"/>
    </row>
    <row r="43" spans="1:11" s="15" customFormat="1" ht="42" x14ac:dyDescent="0.15">
      <c r="A43" s="7">
        <v>2.04</v>
      </c>
      <c r="B43" s="31" t="s">
        <v>743</v>
      </c>
      <c r="C43" s="11" t="s">
        <v>469</v>
      </c>
      <c r="D43" s="11" t="s">
        <v>513</v>
      </c>
      <c r="E43" s="50" t="s">
        <v>76</v>
      </c>
      <c r="F43" s="8">
        <v>43</v>
      </c>
      <c r="G43" s="10">
        <v>80</v>
      </c>
      <c r="H43" s="10">
        <f>SUM(F43*G43)</f>
        <v>3440</v>
      </c>
    </row>
    <row r="44" spans="1:11" s="15" customFormat="1" x14ac:dyDescent="0.15">
      <c r="A44" s="7"/>
      <c r="B44" s="31"/>
      <c r="C44" s="11"/>
      <c r="D44" s="11"/>
      <c r="E44" s="50"/>
      <c r="F44" s="8"/>
      <c r="G44" s="10"/>
      <c r="H44" s="10"/>
    </row>
    <row r="45" spans="1:11" s="15" customFormat="1" ht="42" x14ac:dyDescent="0.15">
      <c r="A45" s="7">
        <v>2.0499999999999998</v>
      </c>
      <c r="B45" s="31" t="s">
        <v>743</v>
      </c>
      <c r="C45" s="11" t="s">
        <v>378</v>
      </c>
      <c r="D45" s="11" t="s">
        <v>470</v>
      </c>
      <c r="E45" s="48" t="s">
        <v>11</v>
      </c>
      <c r="F45" s="8">
        <v>13</v>
      </c>
      <c r="G45" s="10">
        <v>25</v>
      </c>
      <c r="H45" s="10">
        <f>SUM(F45*G45)</f>
        <v>325</v>
      </c>
    </row>
    <row r="46" spans="1:11" s="15" customFormat="1" x14ac:dyDescent="0.15">
      <c r="A46" s="7"/>
      <c r="B46" s="31"/>
      <c r="C46" s="11"/>
      <c r="D46" s="11"/>
      <c r="E46" s="50"/>
      <c r="F46" s="8"/>
      <c r="G46" s="10"/>
      <c r="H46" s="10"/>
    </row>
    <row r="47" spans="1:11" s="15" customFormat="1" ht="42" x14ac:dyDescent="0.15">
      <c r="A47" s="7">
        <v>2.06</v>
      </c>
      <c r="B47" s="31" t="s">
        <v>743</v>
      </c>
      <c r="C47" s="11" t="s">
        <v>769</v>
      </c>
      <c r="D47" s="11" t="s">
        <v>471</v>
      </c>
      <c r="E47" s="48" t="s">
        <v>11</v>
      </c>
      <c r="F47" s="8">
        <v>13</v>
      </c>
      <c r="G47" s="10">
        <v>25</v>
      </c>
      <c r="H47" s="10">
        <f>SUM(F47*G47)</f>
        <v>325</v>
      </c>
    </row>
    <row r="48" spans="1:11" s="15" customFormat="1" x14ac:dyDescent="0.15">
      <c r="A48" s="7"/>
      <c r="B48" s="31"/>
      <c r="C48" s="11"/>
      <c r="D48" s="11"/>
      <c r="E48" s="50"/>
      <c r="F48" s="8"/>
      <c r="G48" s="10"/>
      <c r="H48" s="10"/>
    </row>
    <row r="49" spans="1:8" s="15" customFormat="1" ht="28" x14ac:dyDescent="0.15">
      <c r="A49" s="7">
        <v>2.0699999999999998</v>
      </c>
      <c r="B49" s="31" t="s">
        <v>743</v>
      </c>
      <c r="C49" s="11" t="s">
        <v>379</v>
      </c>
      <c r="D49" s="11" t="s">
        <v>380</v>
      </c>
      <c r="E49" s="50" t="s">
        <v>11</v>
      </c>
      <c r="F49" s="8">
        <v>13</v>
      </c>
      <c r="G49" s="10">
        <v>75</v>
      </c>
      <c r="H49" s="10">
        <f>SUM(F49*G49)</f>
        <v>975</v>
      </c>
    </row>
    <row r="50" spans="1:8" s="15" customFormat="1" x14ac:dyDescent="0.15">
      <c r="A50" s="7"/>
      <c r="B50" s="31"/>
      <c r="C50" s="11"/>
      <c r="D50" s="11"/>
      <c r="E50" s="50"/>
      <c r="F50" s="8"/>
      <c r="G50" s="10"/>
      <c r="H50" s="10"/>
    </row>
    <row r="51" spans="1:8" s="15" customFormat="1" ht="42" x14ac:dyDescent="0.15">
      <c r="A51" s="7">
        <v>2.08</v>
      </c>
      <c r="B51" s="31" t="s">
        <v>743</v>
      </c>
      <c r="C51" s="11" t="s">
        <v>514</v>
      </c>
      <c r="D51" s="11" t="s">
        <v>383</v>
      </c>
      <c r="E51" s="48" t="s">
        <v>240</v>
      </c>
      <c r="F51" s="8">
        <v>4</v>
      </c>
      <c r="G51" s="10" t="s">
        <v>781</v>
      </c>
      <c r="H51" s="10" t="s">
        <v>781</v>
      </c>
    </row>
    <row r="52" spans="1:8" s="15" customFormat="1" x14ac:dyDescent="0.15">
      <c r="A52" s="7"/>
      <c r="B52" s="31"/>
      <c r="C52" s="11"/>
      <c r="D52" s="11"/>
      <c r="E52" s="50"/>
      <c r="F52" s="8"/>
      <c r="G52" s="10"/>
      <c r="H52" s="10"/>
    </row>
    <row r="53" spans="1:8" s="15" customFormat="1" ht="56" x14ac:dyDescent="0.15">
      <c r="A53" s="7">
        <v>2.09</v>
      </c>
      <c r="B53" s="31" t="s">
        <v>744</v>
      </c>
      <c r="C53" s="11" t="s">
        <v>472</v>
      </c>
      <c r="D53" s="11" t="s">
        <v>561</v>
      </c>
      <c r="E53" s="8" t="s">
        <v>11</v>
      </c>
      <c r="F53" s="8">
        <v>17</v>
      </c>
      <c r="G53" s="10">
        <v>25</v>
      </c>
      <c r="H53" s="10">
        <f>SUM(F53*G53)</f>
        <v>425</v>
      </c>
    </row>
    <row r="54" spans="1:8" s="15" customFormat="1" x14ac:dyDescent="0.15">
      <c r="A54" s="7"/>
      <c r="B54" s="31"/>
      <c r="C54" s="11"/>
      <c r="D54" s="11"/>
      <c r="E54" s="8"/>
      <c r="F54" s="8"/>
      <c r="G54" s="10"/>
      <c r="H54" s="10"/>
    </row>
    <row r="55" spans="1:8" s="15" customFormat="1" ht="42" x14ac:dyDescent="0.15">
      <c r="A55" s="7">
        <v>2.1</v>
      </c>
      <c r="B55" s="31" t="s">
        <v>743</v>
      </c>
      <c r="C55" s="11" t="s">
        <v>386</v>
      </c>
      <c r="D55" s="11" t="s">
        <v>473</v>
      </c>
      <c r="E55" s="8" t="s">
        <v>8</v>
      </c>
      <c r="F55" s="9"/>
      <c r="G55" s="10"/>
      <c r="H55" s="10">
        <v>350</v>
      </c>
    </row>
    <row r="56" spans="1:8" s="15" customFormat="1" x14ac:dyDescent="0.15">
      <c r="A56" s="7"/>
      <c r="B56" s="31"/>
      <c r="C56" s="11"/>
      <c r="D56" s="11"/>
      <c r="E56" s="8"/>
      <c r="F56" s="9"/>
      <c r="G56" s="10"/>
      <c r="H56" s="10"/>
    </row>
    <row r="57" spans="1:8" s="15" customFormat="1" ht="14" x14ac:dyDescent="0.15">
      <c r="A57" s="7">
        <v>2.11</v>
      </c>
      <c r="B57" s="31" t="s">
        <v>743</v>
      </c>
      <c r="C57" s="11" t="s">
        <v>388</v>
      </c>
      <c r="D57" s="11" t="s">
        <v>389</v>
      </c>
      <c r="E57" s="8" t="s">
        <v>8</v>
      </c>
      <c r="F57" s="9"/>
      <c r="G57" s="10"/>
      <c r="H57" s="10">
        <v>250</v>
      </c>
    </row>
    <row r="58" spans="1:8" s="15" customFormat="1" x14ac:dyDescent="0.15">
      <c r="A58" s="7"/>
      <c r="B58" s="31"/>
      <c r="C58" s="11"/>
      <c r="D58" s="11"/>
      <c r="E58" s="8"/>
      <c r="F58" s="8"/>
      <c r="G58" s="10"/>
      <c r="H58" s="10"/>
    </row>
    <row r="59" spans="1:8" s="15" customFormat="1" ht="42" x14ac:dyDescent="0.15">
      <c r="A59" s="7">
        <v>2.12</v>
      </c>
      <c r="B59" s="31" t="s">
        <v>744</v>
      </c>
      <c r="C59" s="11" t="s">
        <v>390</v>
      </c>
      <c r="D59" s="11" t="s">
        <v>391</v>
      </c>
      <c r="E59" s="8" t="s">
        <v>10</v>
      </c>
      <c r="F59" s="8">
        <v>6</v>
      </c>
      <c r="G59" s="10">
        <v>50</v>
      </c>
      <c r="H59" s="10">
        <f>SUM(F59*G59)</f>
        <v>300</v>
      </c>
    </row>
    <row r="60" spans="1:8" s="15" customFormat="1" x14ac:dyDescent="0.15">
      <c r="A60" s="7"/>
      <c r="B60" s="31"/>
      <c r="C60" s="11"/>
      <c r="D60" s="11"/>
      <c r="E60" s="8"/>
      <c r="F60" s="8"/>
      <c r="G60" s="10"/>
      <c r="H60" s="10"/>
    </row>
    <row r="61" spans="1:8" s="15" customFormat="1" ht="14" x14ac:dyDescent="0.15">
      <c r="A61" s="7">
        <v>2.13</v>
      </c>
      <c r="B61" s="31" t="s">
        <v>746</v>
      </c>
      <c r="C61" s="11" t="s">
        <v>344</v>
      </c>
      <c r="D61" s="11" t="s">
        <v>515</v>
      </c>
      <c r="E61" s="8" t="s">
        <v>10</v>
      </c>
      <c r="F61" s="8">
        <v>13</v>
      </c>
      <c r="G61" s="10">
        <v>10</v>
      </c>
      <c r="H61" s="10">
        <f>SUM(F61*G61)</f>
        <v>130</v>
      </c>
    </row>
    <row r="62" spans="1:8" s="15" customFormat="1" x14ac:dyDescent="0.15">
      <c r="A62" s="7"/>
      <c r="B62" s="31"/>
      <c r="C62" s="11"/>
      <c r="D62" s="11"/>
      <c r="E62" s="8"/>
      <c r="F62" s="8"/>
      <c r="G62" s="10"/>
      <c r="H62" s="10"/>
    </row>
    <row r="63" spans="1:8" s="15" customFormat="1" ht="42" x14ac:dyDescent="0.15">
      <c r="A63" s="7">
        <v>2.14</v>
      </c>
      <c r="B63" s="31" t="s">
        <v>743</v>
      </c>
      <c r="C63" s="11" t="s">
        <v>398</v>
      </c>
      <c r="D63" s="11" t="s">
        <v>399</v>
      </c>
      <c r="E63" s="8" t="s">
        <v>8</v>
      </c>
      <c r="F63" s="8"/>
      <c r="G63" s="10"/>
      <c r="H63" s="10">
        <v>150</v>
      </c>
    </row>
    <row r="64" spans="1:8" s="15" customFormat="1" x14ac:dyDescent="0.15">
      <c r="A64" s="7"/>
      <c r="B64" s="31"/>
      <c r="C64" s="11"/>
      <c r="D64" s="11"/>
      <c r="E64" s="8"/>
      <c r="F64" s="8"/>
      <c r="G64" s="10"/>
      <c r="H64" s="10"/>
    </row>
    <row r="65" spans="1:8" s="15" customFormat="1" ht="28" x14ac:dyDescent="0.15">
      <c r="A65" s="7">
        <v>2.15</v>
      </c>
      <c r="B65" s="31" t="s">
        <v>743</v>
      </c>
      <c r="C65" s="11" t="s">
        <v>516</v>
      </c>
      <c r="D65" s="11" t="s">
        <v>474</v>
      </c>
      <c r="E65" s="8" t="s">
        <v>8</v>
      </c>
      <c r="F65" s="8"/>
      <c r="G65" s="10"/>
      <c r="H65" s="10">
        <v>250</v>
      </c>
    </row>
    <row r="66" spans="1:8" s="15" customFormat="1" x14ac:dyDescent="0.15">
      <c r="A66" s="7"/>
      <c r="B66" s="31"/>
      <c r="C66" s="11"/>
      <c r="D66" s="11"/>
      <c r="E66" s="8"/>
      <c r="F66" s="8"/>
      <c r="G66" s="10"/>
      <c r="H66" s="10"/>
    </row>
    <row r="67" spans="1:8" s="15" customFormat="1" ht="28" x14ac:dyDescent="0.15">
      <c r="A67" s="7">
        <v>2.16</v>
      </c>
      <c r="B67" s="31" t="s">
        <v>744</v>
      </c>
      <c r="C67" s="11" t="s">
        <v>401</v>
      </c>
      <c r="D67" s="11" t="s">
        <v>402</v>
      </c>
      <c r="E67" s="8" t="s">
        <v>8</v>
      </c>
      <c r="F67" s="8"/>
      <c r="G67" s="10"/>
      <c r="H67" s="10">
        <v>25</v>
      </c>
    </row>
    <row r="68" spans="1:8" s="15" customFormat="1" x14ac:dyDescent="0.15">
      <c r="A68" s="7"/>
      <c r="B68" s="31"/>
      <c r="C68" s="11"/>
      <c r="D68" s="11"/>
      <c r="E68" s="8"/>
      <c r="F68" s="8"/>
      <c r="G68" s="10"/>
      <c r="H68" s="10"/>
    </row>
    <row r="69" spans="1:8" s="15" customFormat="1" ht="28" x14ac:dyDescent="0.15">
      <c r="A69" s="7">
        <v>2.17</v>
      </c>
      <c r="B69" s="31" t="s">
        <v>744</v>
      </c>
      <c r="C69" s="11" t="s">
        <v>517</v>
      </c>
      <c r="D69" s="11" t="s">
        <v>415</v>
      </c>
      <c r="E69" s="8" t="s">
        <v>8</v>
      </c>
      <c r="F69" s="8"/>
      <c r="G69" s="10"/>
      <c r="H69" s="10">
        <v>180</v>
      </c>
    </row>
    <row r="70" spans="1:8" s="15" customFormat="1" x14ac:dyDescent="0.15">
      <c r="A70" s="7"/>
      <c r="B70" s="31"/>
      <c r="C70" s="11"/>
      <c r="D70" s="11"/>
      <c r="E70" s="8"/>
      <c r="F70" s="8"/>
      <c r="G70" s="10"/>
      <c r="H70" s="10"/>
    </row>
    <row r="71" spans="1:8" s="15" customFormat="1" ht="28" x14ac:dyDescent="0.15">
      <c r="A71" s="7">
        <v>2.1800000000000002</v>
      </c>
      <c r="B71" s="31" t="s">
        <v>744</v>
      </c>
      <c r="C71" s="11" t="s">
        <v>518</v>
      </c>
      <c r="D71" s="11" t="s">
        <v>416</v>
      </c>
      <c r="E71" s="8" t="s">
        <v>8</v>
      </c>
      <c r="F71" s="9"/>
      <c r="G71" s="10"/>
      <c r="H71" s="10">
        <v>180</v>
      </c>
    </row>
    <row r="72" spans="1:8" s="15" customFormat="1" x14ac:dyDescent="0.15">
      <c r="A72" s="7"/>
      <c r="B72" s="31"/>
      <c r="C72" s="11"/>
      <c r="D72" s="11"/>
      <c r="E72" s="8"/>
      <c r="F72" s="9"/>
      <c r="G72" s="10"/>
      <c r="H72" s="10"/>
    </row>
    <row r="73" spans="1:8" s="15" customFormat="1" ht="28" x14ac:dyDescent="0.15">
      <c r="A73" s="7">
        <v>2.19</v>
      </c>
      <c r="B73" s="31" t="s">
        <v>743</v>
      </c>
      <c r="C73" s="11" t="s">
        <v>417</v>
      </c>
      <c r="D73" s="11" t="s">
        <v>233</v>
      </c>
      <c r="E73" s="8" t="s">
        <v>10</v>
      </c>
      <c r="F73" s="9">
        <v>2</v>
      </c>
      <c r="G73" s="10">
        <v>150</v>
      </c>
      <c r="H73" s="10">
        <f>SUM(F73*G73)</f>
        <v>300</v>
      </c>
    </row>
    <row r="74" spans="1:8" s="15" customFormat="1" x14ac:dyDescent="0.15">
      <c r="A74" s="7"/>
      <c r="B74" s="31"/>
      <c r="C74" s="14"/>
      <c r="D74" s="11"/>
      <c r="E74" s="8"/>
      <c r="F74" s="9"/>
      <c r="G74" s="10"/>
      <c r="H74" s="10"/>
    </row>
    <row r="75" spans="1:8" s="15" customFormat="1" ht="28" x14ac:dyDescent="0.15">
      <c r="A75" s="7">
        <v>2.2000000000000002</v>
      </c>
      <c r="B75" s="31" t="s">
        <v>743</v>
      </c>
      <c r="C75" s="11" t="s">
        <v>475</v>
      </c>
      <c r="D75" s="11" t="s">
        <v>419</v>
      </c>
      <c r="E75" s="8" t="s">
        <v>8</v>
      </c>
      <c r="F75" s="9"/>
      <c r="G75" s="10"/>
      <c r="H75" s="10">
        <v>300</v>
      </c>
    </row>
    <row r="76" spans="1:8" s="15" customFormat="1" x14ac:dyDescent="0.15">
      <c r="A76" s="7"/>
      <c r="B76" s="31"/>
      <c r="C76" s="11"/>
      <c r="D76" s="11"/>
      <c r="E76" s="8"/>
      <c r="F76" s="9"/>
      <c r="G76" s="10"/>
      <c r="H76" s="10"/>
    </row>
    <row r="77" spans="1:8" s="15" customFormat="1" ht="28" x14ac:dyDescent="0.15">
      <c r="A77" s="7">
        <v>2.21</v>
      </c>
      <c r="B77" s="31" t="s">
        <v>743</v>
      </c>
      <c r="C77" s="11" t="s">
        <v>420</v>
      </c>
      <c r="D77" s="11" t="s">
        <v>418</v>
      </c>
      <c r="E77" s="8" t="s">
        <v>8</v>
      </c>
      <c r="F77" s="9"/>
      <c r="G77" s="10"/>
      <c r="H77" s="10">
        <v>150</v>
      </c>
    </row>
    <row r="78" spans="1:8" s="15" customFormat="1" x14ac:dyDescent="0.15">
      <c r="A78" s="7"/>
      <c r="B78" s="31"/>
      <c r="C78" s="11"/>
      <c r="D78" s="11"/>
      <c r="E78" s="8"/>
      <c r="F78" s="9"/>
      <c r="G78" s="10"/>
      <c r="H78" s="10"/>
    </row>
    <row r="79" spans="1:8" s="15" customFormat="1" ht="28" x14ac:dyDescent="0.15">
      <c r="A79" s="7">
        <v>2.2200000000000002</v>
      </c>
      <c r="B79" s="31" t="s">
        <v>743</v>
      </c>
      <c r="C79" s="11" t="s">
        <v>519</v>
      </c>
      <c r="D79" s="11" t="s">
        <v>234</v>
      </c>
      <c r="E79" s="8" t="s">
        <v>8</v>
      </c>
      <c r="F79" s="9"/>
      <c r="G79" s="10"/>
      <c r="H79" s="10">
        <v>150</v>
      </c>
    </row>
    <row r="80" spans="1:8" s="15" customFormat="1" x14ac:dyDescent="0.15">
      <c r="A80" s="7"/>
      <c r="B80" s="31"/>
      <c r="C80" s="11"/>
      <c r="D80" s="11"/>
      <c r="E80" s="8"/>
      <c r="F80" s="9"/>
      <c r="G80" s="10"/>
      <c r="H80" s="10"/>
    </row>
    <row r="81" spans="1:8" ht="14" x14ac:dyDescent="0.15">
      <c r="B81" s="31"/>
      <c r="C81" s="14" t="s">
        <v>770</v>
      </c>
      <c r="D81" s="11"/>
      <c r="H81" s="10"/>
    </row>
    <row r="82" spans="1:8" s="15" customFormat="1" x14ac:dyDescent="0.15">
      <c r="A82" s="7"/>
      <c r="B82" s="31"/>
      <c r="C82" s="11"/>
      <c r="D82" s="11"/>
      <c r="E82" s="8"/>
      <c r="F82" s="9"/>
      <c r="G82" s="10"/>
      <c r="H82" s="10"/>
    </row>
    <row r="83" spans="1:8" s="15" customFormat="1" ht="56" x14ac:dyDescent="0.15">
      <c r="A83" s="7">
        <v>2.23</v>
      </c>
      <c r="B83" s="31" t="s">
        <v>743</v>
      </c>
      <c r="C83" s="11" t="s">
        <v>826</v>
      </c>
      <c r="D83" s="11" t="s">
        <v>773</v>
      </c>
      <c r="E83" s="48" t="s">
        <v>76</v>
      </c>
      <c r="F83" s="8">
        <v>16</v>
      </c>
      <c r="G83" s="10">
        <v>500</v>
      </c>
      <c r="H83" s="10">
        <f>SUM(F83*G83)</f>
        <v>8000</v>
      </c>
    </row>
    <row r="84" spans="1:8" s="15" customFormat="1" x14ac:dyDescent="0.15">
      <c r="A84" s="7"/>
      <c r="B84" s="31"/>
      <c r="C84" s="11"/>
      <c r="D84" s="11"/>
      <c r="E84" s="48"/>
      <c r="F84" s="8"/>
      <c r="G84" s="10"/>
      <c r="H84" s="10"/>
    </row>
    <row r="85" spans="1:8" s="15" customFormat="1" ht="28" x14ac:dyDescent="0.15">
      <c r="A85" s="7">
        <v>2.2400000000000002</v>
      </c>
      <c r="B85" s="31" t="s">
        <v>743</v>
      </c>
      <c r="C85" s="11" t="s">
        <v>774</v>
      </c>
      <c r="D85" s="11" t="s">
        <v>513</v>
      </c>
      <c r="E85" s="50" t="s">
        <v>76</v>
      </c>
      <c r="F85" s="8">
        <v>34</v>
      </c>
      <c r="G85" s="10" t="s">
        <v>781</v>
      </c>
      <c r="H85" s="10" t="s">
        <v>781</v>
      </c>
    </row>
    <row r="86" spans="1:8" s="15" customFormat="1" x14ac:dyDescent="0.15">
      <c r="A86" s="7"/>
      <c r="B86" s="31"/>
      <c r="C86" s="11"/>
      <c r="D86" s="11"/>
      <c r="E86" s="50"/>
      <c r="F86" s="8"/>
      <c r="G86" s="10"/>
      <c r="H86" s="10"/>
    </row>
    <row r="87" spans="1:8" s="15" customFormat="1" ht="42" x14ac:dyDescent="0.15">
      <c r="A87" s="7">
        <v>2.25</v>
      </c>
      <c r="B87" s="31" t="s">
        <v>743</v>
      </c>
      <c r="C87" s="11" t="s">
        <v>626</v>
      </c>
      <c r="D87" s="11" t="s">
        <v>470</v>
      </c>
      <c r="E87" s="48" t="s">
        <v>11</v>
      </c>
      <c r="F87" s="8">
        <v>9.5</v>
      </c>
      <c r="G87" s="10">
        <v>25</v>
      </c>
      <c r="H87" s="10">
        <f>SUM(F87*G87)</f>
        <v>237.5</v>
      </c>
    </row>
    <row r="88" spans="1:8" s="15" customFormat="1" x14ac:dyDescent="0.15">
      <c r="A88" s="7"/>
      <c r="B88" s="31"/>
      <c r="C88" s="11"/>
      <c r="D88" s="11"/>
      <c r="E88" s="48"/>
      <c r="F88" s="8"/>
      <c r="G88" s="10"/>
      <c r="H88" s="10"/>
    </row>
    <row r="89" spans="1:8" s="15" customFormat="1" ht="28" x14ac:dyDescent="0.15">
      <c r="A89" s="7">
        <v>2.2599999999999998</v>
      </c>
      <c r="B89" s="31" t="s">
        <v>743</v>
      </c>
      <c r="C89" s="11" t="s">
        <v>771</v>
      </c>
      <c r="D89" s="11" t="s">
        <v>772</v>
      </c>
      <c r="E89" s="48" t="s">
        <v>11</v>
      </c>
      <c r="F89" s="8">
        <v>6</v>
      </c>
      <c r="G89" s="10">
        <v>25</v>
      </c>
      <c r="H89" s="10">
        <f>SUM(F89*G89)</f>
        <v>150</v>
      </c>
    </row>
    <row r="90" spans="1:8" s="15" customFormat="1" x14ac:dyDescent="0.15">
      <c r="A90" s="7"/>
      <c r="B90" s="31"/>
      <c r="C90" s="11"/>
      <c r="D90" s="11"/>
      <c r="E90" s="48"/>
      <c r="F90" s="8"/>
      <c r="G90" s="10"/>
      <c r="H90" s="10"/>
    </row>
    <row r="91" spans="1:8" s="15" customFormat="1" ht="42" x14ac:dyDescent="0.15">
      <c r="A91" s="7">
        <v>2.27</v>
      </c>
      <c r="B91" s="31" t="s">
        <v>743</v>
      </c>
      <c r="C91" s="11" t="s">
        <v>398</v>
      </c>
      <c r="D91" s="11" t="s">
        <v>399</v>
      </c>
      <c r="E91" s="8" t="s">
        <v>8</v>
      </c>
      <c r="F91" s="8"/>
      <c r="G91" s="10"/>
      <c r="H91" s="10">
        <v>150</v>
      </c>
    </row>
    <row r="92" spans="1:8" s="15" customFormat="1" x14ac:dyDescent="0.15">
      <c r="A92" s="7"/>
      <c r="B92" s="31"/>
      <c r="C92" s="11"/>
      <c r="D92" s="11"/>
      <c r="E92" s="8"/>
      <c r="F92" s="8"/>
      <c r="G92" s="10"/>
      <c r="H92" s="10"/>
    </row>
    <row r="93" spans="1:8" s="15" customFormat="1" ht="14" x14ac:dyDescent="0.15">
      <c r="A93" s="7"/>
      <c r="B93" s="31"/>
      <c r="C93" s="14" t="s">
        <v>499</v>
      </c>
      <c r="D93" s="11"/>
      <c r="E93" s="8"/>
      <c r="F93" s="8"/>
      <c r="G93" s="10"/>
      <c r="H93" s="10"/>
    </row>
    <row r="94" spans="1:8" s="15" customFormat="1" x14ac:dyDescent="0.15">
      <c r="A94" s="7"/>
      <c r="B94" s="31"/>
      <c r="C94" s="11"/>
      <c r="D94" s="11"/>
      <c r="E94" s="8"/>
      <c r="F94" s="8"/>
      <c r="G94" s="10"/>
      <c r="H94" s="10"/>
    </row>
    <row r="95" spans="1:8" s="15" customFormat="1" ht="28" x14ac:dyDescent="0.15">
      <c r="A95" s="7">
        <v>2.2799999999999998</v>
      </c>
      <c r="B95" s="31" t="s">
        <v>745</v>
      </c>
      <c r="C95" s="11" t="s">
        <v>476</v>
      </c>
      <c r="D95" s="11" t="s">
        <v>775</v>
      </c>
      <c r="E95" s="8" t="s">
        <v>8</v>
      </c>
      <c r="F95" s="8"/>
      <c r="G95" s="10"/>
      <c r="H95" s="10">
        <v>75</v>
      </c>
    </row>
    <row r="96" spans="1:8" s="15" customFormat="1" x14ac:dyDescent="0.15">
      <c r="A96" s="7"/>
      <c r="B96" s="31"/>
      <c r="C96" s="11"/>
      <c r="D96" s="11"/>
      <c r="E96" s="8"/>
      <c r="F96" s="8"/>
      <c r="G96" s="10"/>
      <c r="H96" s="10"/>
    </row>
    <row r="97" spans="1:9" s="15" customFormat="1" ht="42" x14ac:dyDescent="0.15">
      <c r="A97" s="7">
        <v>2.29</v>
      </c>
      <c r="B97" s="31" t="s">
        <v>744</v>
      </c>
      <c r="C97" s="11" t="s">
        <v>421</v>
      </c>
      <c r="D97" s="11" t="s">
        <v>422</v>
      </c>
      <c r="E97" s="8" t="s">
        <v>11</v>
      </c>
      <c r="F97" s="9">
        <v>17</v>
      </c>
      <c r="G97" s="10">
        <v>35</v>
      </c>
      <c r="H97" s="10">
        <f>SUM(F97*G97)</f>
        <v>595</v>
      </c>
    </row>
    <row r="98" spans="1:9" s="15" customFormat="1" x14ac:dyDescent="0.15">
      <c r="A98" s="7"/>
      <c r="B98" s="31"/>
      <c r="C98" s="11"/>
      <c r="D98" s="11"/>
      <c r="E98" s="8"/>
      <c r="F98" s="8"/>
      <c r="G98" s="10"/>
      <c r="H98" s="10"/>
    </row>
    <row r="99" spans="1:9" s="15" customFormat="1" ht="28" x14ac:dyDescent="0.15">
      <c r="A99" s="7">
        <v>2.2999999999999998</v>
      </c>
      <c r="B99" s="31" t="s">
        <v>743</v>
      </c>
      <c r="C99" s="11" t="s">
        <v>477</v>
      </c>
      <c r="D99" s="11" t="s">
        <v>423</v>
      </c>
      <c r="E99" s="8" t="s">
        <v>8</v>
      </c>
      <c r="F99" s="8"/>
      <c r="G99" s="10"/>
      <c r="H99" s="10">
        <v>750</v>
      </c>
    </row>
    <row r="100" spans="1:9" s="15" customFormat="1" x14ac:dyDescent="0.15">
      <c r="A100" s="7"/>
      <c r="B100" s="31"/>
      <c r="C100" s="11"/>
      <c r="D100" s="11"/>
      <c r="E100" s="8"/>
      <c r="F100" s="8"/>
      <c r="G100" s="10"/>
      <c r="H100" s="10"/>
    </row>
    <row r="101" spans="1:9" s="15" customFormat="1" ht="42" x14ac:dyDescent="0.15">
      <c r="A101" s="7">
        <v>2.31</v>
      </c>
      <c r="B101" s="31" t="s">
        <v>743</v>
      </c>
      <c r="C101" s="11" t="s">
        <v>478</v>
      </c>
      <c r="D101" s="11" t="s">
        <v>479</v>
      </c>
      <c r="E101" s="8" t="s">
        <v>11</v>
      </c>
      <c r="F101" s="8">
        <v>17</v>
      </c>
      <c r="G101" s="10">
        <v>50</v>
      </c>
      <c r="H101" s="10">
        <f>SUM(F101*G101)</f>
        <v>850</v>
      </c>
    </row>
    <row r="102" spans="1:9" s="15" customFormat="1" x14ac:dyDescent="0.15">
      <c r="A102" s="7"/>
      <c r="B102" s="31"/>
      <c r="C102" s="11"/>
      <c r="D102" s="11"/>
      <c r="E102" s="8"/>
      <c r="F102" s="8"/>
      <c r="G102" s="10"/>
      <c r="H102" s="10"/>
    </row>
    <row r="103" spans="1:9" s="15" customFormat="1" ht="14" x14ac:dyDescent="0.15">
      <c r="A103" s="7">
        <v>2.3199999999999998</v>
      </c>
      <c r="B103" s="31" t="s">
        <v>743</v>
      </c>
      <c r="C103" s="11" t="s">
        <v>424</v>
      </c>
      <c r="D103" s="11" t="s">
        <v>425</v>
      </c>
      <c r="E103" s="8" t="s">
        <v>8</v>
      </c>
      <c r="F103" s="8"/>
      <c r="G103" s="10"/>
      <c r="H103" s="10">
        <v>100</v>
      </c>
    </row>
    <row r="104" spans="1:9" s="15" customFormat="1" x14ac:dyDescent="0.15">
      <c r="A104" s="7"/>
      <c r="B104" s="31"/>
      <c r="C104" s="11"/>
      <c r="D104" s="11"/>
      <c r="E104" s="8"/>
      <c r="F104" s="8"/>
      <c r="G104" s="10"/>
      <c r="H104" s="10"/>
    </row>
    <row r="105" spans="1:9" s="15" customFormat="1" ht="42" x14ac:dyDescent="0.15">
      <c r="A105" s="7">
        <v>2.33</v>
      </c>
      <c r="B105" s="31" t="s">
        <v>743</v>
      </c>
      <c r="C105" s="11" t="s">
        <v>481</v>
      </c>
      <c r="D105" s="11" t="s">
        <v>480</v>
      </c>
      <c r="E105" s="48" t="s">
        <v>76</v>
      </c>
      <c r="F105" s="8">
        <v>10</v>
      </c>
      <c r="G105" s="10">
        <v>50</v>
      </c>
      <c r="H105" s="10">
        <f>SUM(F105*G105)</f>
        <v>500</v>
      </c>
    </row>
    <row r="106" spans="1:9" s="15" customFormat="1" x14ac:dyDescent="0.15">
      <c r="A106" s="7"/>
      <c r="B106" s="31"/>
      <c r="C106" s="11"/>
      <c r="D106" s="11"/>
      <c r="E106" s="48"/>
      <c r="F106" s="8"/>
      <c r="G106" s="10"/>
      <c r="H106" s="10"/>
    </row>
    <row r="107" spans="1:9" s="15" customFormat="1" ht="28" x14ac:dyDescent="0.15">
      <c r="A107" s="7">
        <v>2.34</v>
      </c>
      <c r="B107" s="31" t="s">
        <v>743</v>
      </c>
      <c r="C107" s="11" t="s">
        <v>776</v>
      </c>
      <c r="D107" s="11" t="s">
        <v>426</v>
      </c>
      <c r="E107" s="8" t="s">
        <v>8</v>
      </c>
      <c r="F107" s="8"/>
      <c r="G107" s="10"/>
      <c r="H107" s="10">
        <v>300</v>
      </c>
    </row>
    <row r="108" spans="1:9" s="15" customFormat="1" x14ac:dyDescent="0.15">
      <c r="A108" s="7"/>
      <c r="B108" s="31"/>
      <c r="C108" s="11"/>
      <c r="D108" s="11"/>
      <c r="E108" s="8"/>
      <c r="F108" s="8"/>
      <c r="G108" s="10"/>
      <c r="H108" s="10"/>
    </row>
    <row r="109" spans="1:9" s="15" customFormat="1" ht="28" x14ac:dyDescent="0.15">
      <c r="A109" s="7">
        <v>2.35</v>
      </c>
      <c r="B109" s="31" t="s">
        <v>743</v>
      </c>
      <c r="C109" s="15" t="s">
        <v>427</v>
      </c>
      <c r="D109" s="15" t="s">
        <v>428</v>
      </c>
      <c r="E109" s="48" t="s">
        <v>8</v>
      </c>
      <c r="F109" s="44"/>
      <c r="G109" s="36"/>
      <c r="H109" s="36">
        <v>850</v>
      </c>
    </row>
    <row r="110" spans="1:9" s="15" customFormat="1" x14ac:dyDescent="0.15">
      <c r="A110" s="7"/>
      <c r="B110" s="31"/>
      <c r="C110" s="11"/>
      <c r="D110" s="11"/>
      <c r="E110" s="8"/>
      <c r="F110" s="8"/>
      <c r="G110" s="10"/>
      <c r="H110" s="10"/>
      <c r="I110" s="14"/>
    </row>
    <row r="111" spans="1:9" s="15" customFormat="1" ht="14" x14ac:dyDescent="0.15">
      <c r="A111" s="7"/>
      <c r="B111" s="31"/>
      <c r="C111" s="14" t="s">
        <v>486</v>
      </c>
      <c r="D111" s="11"/>
      <c r="E111" s="8"/>
      <c r="F111" s="8"/>
      <c r="G111" s="10"/>
      <c r="H111" s="10"/>
      <c r="I111" s="14"/>
    </row>
    <row r="112" spans="1:9" s="15" customFormat="1" x14ac:dyDescent="0.15">
      <c r="A112" s="7"/>
      <c r="B112" s="31"/>
      <c r="C112" s="14"/>
      <c r="D112" s="11"/>
      <c r="E112" s="8"/>
      <c r="F112" s="8"/>
      <c r="G112" s="10"/>
      <c r="H112" s="10"/>
      <c r="I112" s="14"/>
    </row>
    <row r="113" spans="1:9" s="15" customFormat="1" ht="28" x14ac:dyDescent="0.15">
      <c r="A113" s="7">
        <v>2.36</v>
      </c>
      <c r="B113" s="31" t="s">
        <v>745</v>
      </c>
      <c r="C113" s="11" t="s">
        <v>482</v>
      </c>
      <c r="D113" s="11" t="s">
        <v>384</v>
      </c>
      <c r="E113" s="8" t="s">
        <v>8</v>
      </c>
      <c r="F113" s="8"/>
      <c r="G113" s="10"/>
      <c r="H113" s="10">
        <v>50</v>
      </c>
      <c r="I113" s="14"/>
    </row>
    <row r="114" spans="1:9" s="14" customFormat="1" x14ac:dyDescent="0.15">
      <c r="A114" s="7"/>
      <c r="B114" s="31"/>
      <c r="C114" s="11"/>
      <c r="D114" s="11"/>
      <c r="E114" s="8"/>
      <c r="F114" s="8"/>
      <c r="G114" s="10"/>
      <c r="H114" s="10"/>
    </row>
    <row r="115" spans="1:9" s="14" customFormat="1" ht="28" x14ac:dyDescent="0.15">
      <c r="A115" s="7">
        <v>2.37</v>
      </c>
      <c r="B115" s="31" t="s">
        <v>743</v>
      </c>
      <c r="C115" s="11" t="s">
        <v>235</v>
      </c>
      <c r="D115" s="11" t="s">
        <v>231</v>
      </c>
      <c r="E115" s="8" t="s">
        <v>8</v>
      </c>
      <c r="F115" s="8"/>
      <c r="G115" s="10"/>
      <c r="H115" s="10">
        <v>300</v>
      </c>
    </row>
    <row r="116" spans="1:9" s="14" customFormat="1" x14ac:dyDescent="0.15">
      <c r="A116" s="7"/>
      <c r="B116" s="31"/>
      <c r="C116" s="11"/>
      <c r="D116" s="11"/>
      <c r="E116" s="8"/>
      <c r="F116" s="8"/>
      <c r="G116" s="10"/>
      <c r="H116" s="10"/>
    </row>
    <row r="117" spans="1:9" s="14" customFormat="1" ht="14" x14ac:dyDescent="0.15">
      <c r="A117" s="7">
        <v>2.38</v>
      </c>
      <c r="B117" s="31" t="s">
        <v>743</v>
      </c>
      <c r="C117" s="11" t="s">
        <v>521</v>
      </c>
      <c r="D117" s="11" t="s">
        <v>436</v>
      </c>
      <c r="E117" s="48" t="s">
        <v>30</v>
      </c>
      <c r="F117" s="8"/>
      <c r="G117" s="10"/>
      <c r="H117" s="10">
        <v>1500</v>
      </c>
      <c r="I117" s="11"/>
    </row>
    <row r="118" spans="1:9" s="14" customFormat="1" x14ac:dyDescent="0.15">
      <c r="A118" s="7"/>
      <c r="B118" s="31"/>
      <c r="C118" s="11"/>
      <c r="D118" s="11"/>
      <c r="E118" s="48"/>
      <c r="F118" s="8"/>
      <c r="G118" s="10"/>
      <c r="H118" s="10"/>
      <c r="I118" s="11"/>
    </row>
    <row r="119" spans="1:9" s="14" customFormat="1" ht="14" x14ac:dyDescent="0.15">
      <c r="A119" s="7">
        <v>2.39</v>
      </c>
      <c r="B119" s="31" t="s">
        <v>743</v>
      </c>
      <c r="C119" s="11" t="s">
        <v>432</v>
      </c>
      <c r="D119" s="11" t="s">
        <v>236</v>
      </c>
      <c r="E119" s="8" t="s">
        <v>8</v>
      </c>
      <c r="F119" s="8"/>
      <c r="G119" s="10"/>
      <c r="H119" s="10">
        <v>80</v>
      </c>
      <c r="I119" s="11"/>
    </row>
    <row r="120" spans="1:9" s="14" customFormat="1" x14ac:dyDescent="0.15">
      <c r="A120" s="57"/>
      <c r="B120" s="31"/>
      <c r="C120" s="11"/>
      <c r="D120" s="11"/>
      <c r="E120" s="8"/>
      <c r="F120" s="8"/>
      <c r="G120" s="10"/>
      <c r="H120" s="10"/>
      <c r="I120" s="11"/>
    </row>
    <row r="121" spans="1:9" s="14" customFormat="1" ht="42" x14ac:dyDescent="0.15">
      <c r="A121" s="7">
        <v>2.4</v>
      </c>
      <c r="B121" s="31" t="s">
        <v>743</v>
      </c>
      <c r="C121" s="11" t="s">
        <v>778</v>
      </c>
      <c r="D121" s="11" t="s">
        <v>433</v>
      </c>
      <c r="E121" s="48" t="s">
        <v>76</v>
      </c>
      <c r="F121" s="8">
        <v>5</v>
      </c>
      <c r="G121" s="10">
        <v>500</v>
      </c>
      <c r="H121" s="10">
        <f>SUM(F121*G121)</f>
        <v>2500</v>
      </c>
      <c r="I121" s="11"/>
    </row>
    <row r="122" spans="1:9" s="15" customFormat="1" x14ac:dyDescent="0.15">
      <c r="A122" s="7"/>
      <c r="B122" s="31"/>
      <c r="C122" s="11"/>
      <c r="D122" s="11"/>
      <c r="E122" s="48"/>
      <c r="F122" s="8"/>
      <c r="G122" s="10"/>
      <c r="H122" s="10"/>
    </row>
    <row r="123" spans="1:9" s="15" customFormat="1" ht="56" x14ac:dyDescent="0.15">
      <c r="A123" s="7">
        <v>2.41</v>
      </c>
      <c r="B123" s="31" t="s">
        <v>743</v>
      </c>
      <c r="C123" s="11" t="s">
        <v>434</v>
      </c>
      <c r="D123" s="11" t="s">
        <v>779</v>
      </c>
      <c r="E123" s="48" t="s">
        <v>76</v>
      </c>
      <c r="F123" s="8">
        <v>31</v>
      </c>
      <c r="G123" s="36">
        <v>500</v>
      </c>
      <c r="H123" s="36">
        <f>SUM(F123*G123)</f>
        <v>15500</v>
      </c>
    </row>
    <row r="124" spans="1:9" s="15" customFormat="1" x14ac:dyDescent="0.15">
      <c r="A124" s="57"/>
      <c r="B124" s="31"/>
      <c r="C124" s="11"/>
      <c r="D124" s="11"/>
      <c r="E124" s="48"/>
      <c r="F124" s="8"/>
      <c r="G124" s="36"/>
      <c r="H124" s="36"/>
    </row>
    <row r="125" spans="1:9" s="15" customFormat="1" ht="42" x14ac:dyDescent="0.15">
      <c r="A125" s="7">
        <v>2.42</v>
      </c>
      <c r="B125" s="31" t="s">
        <v>743</v>
      </c>
      <c r="C125" s="11" t="s">
        <v>780</v>
      </c>
      <c r="D125" s="11" t="s">
        <v>520</v>
      </c>
      <c r="E125" s="8" t="s">
        <v>8</v>
      </c>
      <c r="F125" s="8"/>
      <c r="G125" s="10"/>
      <c r="H125" s="36">
        <v>1000</v>
      </c>
    </row>
    <row r="126" spans="1:9" s="15" customFormat="1" x14ac:dyDescent="0.15">
      <c r="A126" s="7"/>
      <c r="B126" s="31"/>
      <c r="C126" s="11"/>
      <c r="D126" s="11"/>
      <c r="E126" s="48"/>
      <c r="F126" s="8"/>
      <c r="G126" s="10"/>
      <c r="H126" s="10"/>
    </row>
    <row r="127" spans="1:9" s="15" customFormat="1" ht="56" x14ac:dyDescent="0.15">
      <c r="A127" s="7">
        <v>2.4300000000000002</v>
      </c>
      <c r="B127" s="31" t="s">
        <v>743</v>
      </c>
      <c r="C127" s="5" t="s">
        <v>786</v>
      </c>
      <c r="D127" s="5" t="s">
        <v>435</v>
      </c>
      <c r="E127" s="8" t="s">
        <v>8</v>
      </c>
      <c r="F127" s="9"/>
      <c r="G127" s="10"/>
      <c r="H127" s="20">
        <v>1000</v>
      </c>
    </row>
    <row r="128" spans="1:9" s="15" customFormat="1" x14ac:dyDescent="0.15">
      <c r="A128" s="57"/>
      <c r="B128" s="31"/>
      <c r="C128" s="11"/>
      <c r="D128" s="11"/>
      <c r="E128" s="48"/>
      <c r="F128" s="8"/>
      <c r="G128" s="10"/>
      <c r="H128" s="10"/>
    </row>
    <row r="129" spans="1:8" s="15" customFormat="1" ht="56" x14ac:dyDescent="0.15">
      <c r="A129" s="7">
        <v>2.44</v>
      </c>
      <c r="B129" s="31" t="s">
        <v>743</v>
      </c>
      <c r="C129" s="11" t="s">
        <v>437</v>
      </c>
      <c r="D129" s="56" t="s">
        <v>438</v>
      </c>
      <c r="E129" s="48" t="s">
        <v>30</v>
      </c>
      <c r="F129" s="8"/>
      <c r="G129" s="10"/>
      <c r="H129" s="10">
        <v>800</v>
      </c>
    </row>
    <row r="130" spans="1:8" s="15" customFormat="1" x14ac:dyDescent="0.15">
      <c r="A130" s="7"/>
      <c r="B130" s="31"/>
      <c r="C130" s="11"/>
      <c r="D130" s="11"/>
      <c r="E130" s="48"/>
      <c r="F130" s="8"/>
      <c r="G130" s="10"/>
      <c r="H130" s="10"/>
    </row>
    <row r="131" spans="1:8" s="15" customFormat="1" ht="42" x14ac:dyDescent="0.15">
      <c r="A131" s="7">
        <v>2.4500000000000002</v>
      </c>
      <c r="B131" s="31" t="s">
        <v>743</v>
      </c>
      <c r="C131" s="11" t="s">
        <v>595</v>
      </c>
      <c r="D131" s="11" t="s">
        <v>513</v>
      </c>
      <c r="E131" s="48" t="s">
        <v>76</v>
      </c>
      <c r="F131" s="8">
        <v>28</v>
      </c>
      <c r="G131" s="36">
        <v>80</v>
      </c>
      <c r="H131" s="10">
        <f>SUM(F131*G131)</f>
        <v>2240</v>
      </c>
    </row>
    <row r="132" spans="1:8" s="15" customFormat="1" x14ac:dyDescent="0.15">
      <c r="A132" s="57"/>
      <c r="B132" s="31"/>
      <c r="C132" s="11"/>
      <c r="D132" s="11"/>
      <c r="E132" s="8"/>
      <c r="F132" s="8"/>
      <c r="G132" s="10"/>
      <c r="H132" s="10"/>
    </row>
    <row r="133" spans="1:8" s="15" customFormat="1" ht="42" x14ac:dyDescent="0.15">
      <c r="A133" s="7">
        <v>2.46</v>
      </c>
      <c r="B133" s="31" t="s">
        <v>744</v>
      </c>
      <c r="C133" s="11" t="s">
        <v>230</v>
      </c>
      <c r="D133" s="11" t="s">
        <v>385</v>
      </c>
      <c r="E133" s="8" t="s">
        <v>11</v>
      </c>
      <c r="F133" s="8">
        <v>25</v>
      </c>
      <c r="G133" s="10">
        <v>25</v>
      </c>
      <c r="H133" s="10">
        <f>SUM(F133*G133)</f>
        <v>625</v>
      </c>
    </row>
    <row r="134" spans="1:8" s="15" customFormat="1" x14ac:dyDescent="0.15">
      <c r="A134" s="7"/>
      <c r="B134" s="31"/>
      <c r="E134" s="8"/>
      <c r="F134" s="8"/>
      <c r="G134" s="10"/>
      <c r="H134" s="10"/>
    </row>
    <row r="135" spans="1:8" s="15" customFormat="1" ht="28" x14ac:dyDescent="0.15">
      <c r="A135" s="7">
        <v>2.4700000000000002</v>
      </c>
      <c r="B135" s="31" t="s">
        <v>743</v>
      </c>
      <c r="C135" s="11" t="s">
        <v>439</v>
      </c>
      <c r="D135" s="11" t="s">
        <v>440</v>
      </c>
      <c r="E135" s="8" t="s">
        <v>8</v>
      </c>
      <c r="F135" s="8"/>
      <c r="G135" s="10"/>
      <c r="H135" s="10">
        <v>200</v>
      </c>
    </row>
    <row r="136" spans="1:8" s="15" customFormat="1" x14ac:dyDescent="0.15">
      <c r="A136" s="57"/>
      <c r="B136" s="31"/>
      <c r="C136" s="11"/>
      <c r="D136" s="11"/>
      <c r="E136" s="8"/>
      <c r="F136" s="8"/>
      <c r="G136" s="10"/>
      <c r="H136" s="10"/>
    </row>
    <row r="137" spans="1:8" s="15" customFormat="1" ht="56" x14ac:dyDescent="0.15">
      <c r="A137" s="7">
        <v>2.48</v>
      </c>
      <c r="B137" s="31" t="s">
        <v>743</v>
      </c>
      <c r="C137" s="11" t="s">
        <v>441</v>
      </c>
      <c r="D137" s="11" t="s">
        <v>782</v>
      </c>
      <c r="E137" s="8" t="s">
        <v>10</v>
      </c>
      <c r="F137" s="8">
        <v>8</v>
      </c>
      <c r="G137" s="10">
        <v>250</v>
      </c>
      <c r="H137" s="10">
        <f>SUM(F137*G137)</f>
        <v>2000</v>
      </c>
    </row>
    <row r="138" spans="1:8" s="15" customFormat="1" x14ac:dyDescent="0.15">
      <c r="A138" s="7"/>
      <c r="B138" s="31"/>
      <c r="C138" s="11"/>
      <c r="D138" s="11"/>
      <c r="E138" s="8"/>
      <c r="F138" s="8"/>
      <c r="G138" s="10"/>
      <c r="H138" s="10"/>
    </row>
    <row r="139" spans="1:8" s="15" customFormat="1" ht="56" x14ac:dyDescent="0.15">
      <c r="A139" s="7">
        <v>2.4900000000000002</v>
      </c>
      <c r="B139" s="31" t="s">
        <v>743</v>
      </c>
      <c r="C139" s="11"/>
      <c r="D139" s="11" t="s">
        <v>442</v>
      </c>
      <c r="E139" s="8" t="s">
        <v>781</v>
      </c>
      <c r="F139" s="8"/>
      <c r="G139" s="10"/>
      <c r="H139" s="10"/>
    </row>
    <row r="140" spans="1:8" s="15" customFormat="1" x14ac:dyDescent="0.15">
      <c r="A140" s="57"/>
      <c r="B140" s="31"/>
      <c r="C140" s="14"/>
      <c r="D140" s="11"/>
      <c r="E140" s="8"/>
      <c r="F140" s="8"/>
      <c r="G140" s="10"/>
      <c r="H140" s="10"/>
    </row>
    <row r="141" spans="1:8" s="15" customFormat="1" ht="28" x14ac:dyDescent="0.15">
      <c r="A141" s="7">
        <v>2.5</v>
      </c>
      <c r="B141" s="31" t="s">
        <v>744</v>
      </c>
      <c r="C141" s="11" t="s">
        <v>483</v>
      </c>
      <c r="D141" s="11" t="s">
        <v>443</v>
      </c>
      <c r="E141" s="8" t="s">
        <v>10</v>
      </c>
      <c r="F141" s="8">
        <v>4</v>
      </c>
      <c r="G141" s="10">
        <v>50</v>
      </c>
      <c r="H141" s="10">
        <f>SUM(F141*G141)</f>
        <v>200</v>
      </c>
    </row>
    <row r="142" spans="1:8" s="15" customFormat="1" x14ac:dyDescent="0.15">
      <c r="A142" s="7"/>
      <c r="B142" s="31"/>
      <c r="C142" s="14"/>
      <c r="D142" s="14"/>
      <c r="E142" s="17"/>
      <c r="F142" s="17"/>
      <c r="G142" s="19"/>
      <c r="H142" s="19"/>
    </row>
    <row r="143" spans="1:8" s="15" customFormat="1" ht="28" x14ac:dyDescent="0.15">
      <c r="A143" s="7">
        <v>2.5099999999999998</v>
      </c>
      <c r="B143" s="31" t="s">
        <v>746</v>
      </c>
      <c r="C143" s="11" t="s">
        <v>232</v>
      </c>
      <c r="D143" s="11" t="s">
        <v>331</v>
      </c>
      <c r="E143" s="8" t="s">
        <v>10</v>
      </c>
      <c r="F143" s="8">
        <v>8</v>
      </c>
      <c r="G143" s="10">
        <v>10</v>
      </c>
      <c r="H143" s="10">
        <f>SUM(F143*G143)</f>
        <v>80</v>
      </c>
    </row>
    <row r="144" spans="1:8" s="15" customFormat="1" x14ac:dyDescent="0.15">
      <c r="A144" s="57"/>
      <c r="B144" s="31"/>
      <c r="C144" s="11"/>
      <c r="D144" s="11"/>
      <c r="E144" s="8"/>
      <c r="F144" s="8"/>
      <c r="G144" s="10"/>
      <c r="H144" s="10"/>
    </row>
    <row r="145" spans="1:8" s="15" customFormat="1" ht="28" x14ac:dyDescent="0.15">
      <c r="A145" s="7">
        <v>2.52</v>
      </c>
      <c r="B145" s="31" t="s">
        <v>743</v>
      </c>
      <c r="C145" s="11" t="s">
        <v>484</v>
      </c>
      <c r="D145" s="11" t="s">
        <v>444</v>
      </c>
      <c r="E145" s="8" t="s">
        <v>10</v>
      </c>
      <c r="F145" s="8">
        <v>2</v>
      </c>
      <c r="G145" s="10">
        <v>20</v>
      </c>
      <c r="H145" s="10">
        <f>SUM(F145*G145)</f>
        <v>40</v>
      </c>
    </row>
    <row r="146" spans="1:8" s="15" customFormat="1" x14ac:dyDescent="0.15">
      <c r="A146" s="7"/>
      <c r="B146" s="31"/>
      <c r="C146" s="11"/>
      <c r="D146" s="11"/>
      <c r="E146" s="8"/>
      <c r="F146" s="8"/>
      <c r="G146" s="10"/>
      <c r="H146" s="10"/>
    </row>
    <row r="147" spans="1:8" s="15" customFormat="1" ht="14" x14ac:dyDescent="0.15">
      <c r="A147" s="7">
        <v>2.5299999999999998</v>
      </c>
      <c r="B147" s="31" t="s">
        <v>743</v>
      </c>
      <c r="C147" s="11" t="s">
        <v>237</v>
      </c>
      <c r="D147" s="11" t="s">
        <v>238</v>
      </c>
      <c r="E147" s="8" t="s">
        <v>8</v>
      </c>
      <c r="F147" s="8"/>
      <c r="G147" s="10"/>
      <c r="H147" s="10">
        <v>50</v>
      </c>
    </row>
    <row r="148" spans="1:8" s="15" customFormat="1" x14ac:dyDescent="0.15">
      <c r="A148" s="57"/>
      <c r="B148" s="31"/>
      <c r="C148" s="11"/>
      <c r="D148" s="11"/>
      <c r="E148" s="8"/>
      <c r="F148" s="8"/>
      <c r="G148" s="10"/>
      <c r="H148" s="10"/>
    </row>
    <row r="149" spans="1:8" s="15" customFormat="1" ht="28" x14ac:dyDescent="0.15">
      <c r="A149" s="7">
        <v>2.54</v>
      </c>
      <c r="B149" s="31" t="s">
        <v>743</v>
      </c>
      <c r="C149" s="11" t="s">
        <v>445</v>
      </c>
      <c r="D149" s="11" t="s">
        <v>485</v>
      </c>
      <c r="E149" s="50" t="s">
        <v>8</v>
      </c>
      <c r="F149" s="8"/>
      <c r="G149" s="10"/>
      <c r="H149" s="10">
        <v>500</v>
      </c>
    </row>
    <row r="150" spans="1:8" s="15" customFormat="1" x14ac:dyDescent="0.15">
      <c r="A150" s="7"/>
      <c r="B150" s="31"/>
      <c r="C150" s="11"/>
      <c r="D150" s="11"/>
      <c r="E150" s="8"/>
      <c r="F150" s="8"/>
      <c r="G150" s="10"/>
      <c r="H150" s="10"/>
    </row>
    <row r="151" spans="1:8" s="15" customFormat="1" ht="28" x14ac:dyDescent="0.15">
      <c r="A151" s="7"/>
      <c r="B151" s="31"/>
      <c r="C151" s="14" t="s">
        <v>498</v>
      </c>
      <c r="D151" s="11"/>
      <c r="E151" s="8"/>
      <c r="F151" s="8"/>
      <c r="G151" s="10"/>
      <c r="H151" s="10"/>
    </row>
    <row r="152" spans="1:8" s="15" customFormat="1" x14ac:dyDescent="0.15">
      <c r="A152" s="7"/>
      <c r="B152" s="31"/>
      <c r="C152" s="11"/>
      <c r="D152" s="11"/>
      <c r="E152" s="8"/>
      <c r="F152" s="8"/>
      <c r="G152" s="10"/>
      <c r="H152" s="10"/>
    </row>
    <row r="153" spans="1:8" s="15" customFormat="1" ht="42" x14ac:dyDescent="0.15">
      <c r="A153" s="7">
        <v>2.5499999999999998</v>
      </c>
      <c r="B153" s="31" t="s">
        <v>744</v>
      </c>
      <c r="C153" s="11" t="s">
        <v>783</v>
      </c>
      <c r="D153" s="11" t="s">
        <v>422</v>
      </c>
      <c r="E153" s="8" t="s">
        <v>11</v>
      </c>
      <c r="F153" s="9">
        <v>15</v>
      </c>
      <c r="G153" s="10">
        <v>35</v>
      </c>
      <c r="H153" s="36">
        <f>SUM(F153*G153)</f>
        <v>525</v>
      </c>
    </row>
    <row r="154" spans="1:8" s="15" customFormat="1" x14ac:dyDescent="0.15">
      <c r="A154" s="7"/>
      <c r="B154" s="31"/>
      <c r="C154" s="11"/>
      <c r="D154" s="11"/>
      <c r="E154" s="8"/>
      <c r="F154" s="8"/>
      <c r="G154" s="10"/>
      <c r="H154" s="10"/>
    </row>
    <row r="155" spans="1:8" s="15" customFormat="1" ht="28" x14ac:dyDescent="0.15">
      <c r="A155" s="7">
        <v>2.56</v>
      </c>
      <c r="B155" s="31" t="s">
        <v>743</v>
      </c>
      <c r="C155" s="11" t="s">
        <v>487</v>
      </c>
      <c r="D155" s="11" t="s">
        <v>489</v>
      </c>
      <c r="E155" s="8" t="s">
        <v>8</v>
      </c>
      <c r="F155" s="8"/>
      <c r="G155" s="10"/>
      <c r="H155" s="10">
        <v>500</v>
      </c>
    </row>
    <row r="156" spans="1:8" s="15" customFormat="1" x14ac:dyDescent="0.15">
      <c r="A156" s="7"/>
      <c r="B156" s="31"/>
      <c r="C156" s="11"/>
      <c r="D156" s="11"/>
      <c r="E156" s="8"/>
      <c r="F156" s="8"/>
      <c r="G156" s="10"/>
      <c r="H156" s="10"/>
    </row>
    <row r="157" spans="1:8" s="15" customFormat="1" ht="28" x14ac:dyDescent="0.15">
      <c r="A157" s="7">
        <v>2.57</v>
      </c>
      <c r="B157" s="31" t="s">
        <v>743</v>
      </c>
      <c r="C157" s="11" t="s">
        <v>490</v>
      </c>
      <c r="D157" s="11" t="s">
        <v>488</v>
      </c>
      <c r="E157" s="8" t="s">
        <v>8</v>
      </c>
      <c r="F157" s="8"/>
      <c r="G157" s="10"/>
      <c r="H157" s="10">
        <v>500</v>
      </c>
    </row>
    <row r="158" spans="1:8" s="15" customFormat="1" x14ac:dyDescent="0.15">
      <c r="A158" s="7"/>
      <c r="B158" s="31"/>
      <c r="C158" s="14"/>
      <c r="D158" s="11"/>
      <c r="E158" s="8"/>
      <c r="F158" s="8"/>
      <c r="G158" s="10"/>
      <c r="H158" s="10"/>
    </row>
    <row r="159" spans="1:8" s="15" customFormat="1" ht="28" x14ac:dyDescent="0.15">
      <c r="A159" s="7">
        <v>2.58</v>
      </c>
      <c r="B159" s="31" t="s">
        <v>743</v>
      </c>
      <c r="C159" s="11" t="s">
        <v>491</v>
      </c>
      <c r="D159" s="11" t="s">
        <v>492</v>
      </c>
      <c r="E159" s="48" t="s">
        <v>76</v>
      </c>
      <c r="F159" s="8">
        <v>13</v>
      </c>
      <c r="G159" s="10">
        <v>50</v>
      </c>
      <c r="H159" s="36">
        <f>SUM(F159*G159)</f>
        <v>650</v>
      </c>
    </row>
    <row r="160" spans="1:8" s="15" customFormat="1" x14ac:dyDescent="0.15">
      <c r="A160" s="7"/>
      <c r="B160" s="31"/>
      <c r="C160" s="11"/>
      <c r="D160" s="11"/>
      <c r="E160" s="48"/>
      <c r="F160" s="8"/>
      <c r="G160" s="10"/>
      <c r="H160" s="10"/>
    </row>
    <row r="161" spans="1:8" s="15" customFormat="1" ht="28" x14ac:dyDescent="0.15">
      <c r="A161" s="7">
        <v>2.59</v>
      </c>
      <c r="B161" s="31" t="s">
        <v>743</v>
      </c>
      <c r="C161" s="11" t="s">
        <v>493</v>
      </c>
      <c r="D161" s="11" t="s">
        <v>425</v>
      </c>
      <c r="E161" s="8" t="s">
        <v>8</v>
      </c>
      <c r="F161" s="8"/>
      <c r="G161" s="10"/>
      <c r="H161" s="10">
        <v>50</v>
      </c>
    </row>
    <row r="162" spans="1:8" s="15" customFormat="1" x14ac:dyDescent="0.15">
      <c r="A162" s="7"/>
      <c r="B162" s="31"/>
      <c r="C162" s="11"/>
      <c r="D162" s="11"/>
      <c r="E162" s="8"/>
      <c r="F162" s="8"/>
      <c r="G162" s="10"/>
      <c r="H162" s="10"/>
    </row>
    <row r="163" spans="1:8" s="15" customFormat="1" ht="28" x14ac:dyDescent="0.15">
      <c r="A163" s="7">
        <v>2.6</v>
      </c>
      <c r="B163" s="31" t="s">
        <v>743</v>
      </c>
      <c r="C163" s="11" t="s">
        <v>784</v>
      </c>
      <c r="D163" s="11" t="s">
        <v>494</v>
      </c>
      <c r="E163" s="8" t="s">
        <v>8</v>
      </c>
      <c r="F163" s="8"/>
      <c r="G163" s="10"/>
      <c r="H163" s="36">
        <v>200</v>
      </c>
    </row>
    <row r="164" spans="1:8" s="15" customFormat="1" x14ac:dyDescent="0.15">
      <c r="A164" s="7"/>
      <c r="B164" s="31"/>
      <c r="C164" s="11"/>
      <c r="D164" s="11"/>
      <c r="E164" s="8"/>
      <c r="F164" s="8"/>
      <c r="G164" s="10"/>
      <c r="H164" s="10"/>
    </row>
    <row r="165" spans="1:8" s="15" customFormat="1" ht="28" x14ac:dyDescent="0.15">
      <c r="A165" s="7">
        <v>2.61</v>
      </c>
      <c r="B165" s="31" t="s">
        <v>743</v>
      </c>
      <c r="C165" s="11" t="s">
        <v>785</v>
      </c>
      <c r="D165" s="11" t="s">
        <v>495</v>
      </c>
      <c r="E165" s="8" t="s">
        <v>8</v>
      </c>
      <c r="F165" s="8"/>
      <c r="G165" s="10"/>
      <c r="H165" s="36">
        <v>300</v>
      </c>
    </row>
    <row r="166" spans="1:8" s="15" customFormat="1" x14ac:dyDescent="0.15">
      <c r="A166" s="7"/>
      <c r="B166" s="31"/>
      <c r="C166" s="11"/>
      <c r="D166" s="11"/>
      <c r="E166" s="8"/>
      <c r="F166" s="8"/>
      <c r="G166" s="10"/>
      <c r="H166" s="10"/>
    </row>
    <row r="167" spans="1:8" s="15" customFormat="1" ht="28" x14ac:dyDescent="0.15">
      <c r="A167" s="7">
        <v>2.62</v>
      </c>
      <c r="B167" s="31" t="s">
        <v>743</v>
      </c>
      <c r="C167" s="11" t="s">
        <v>496</v>
      </c>
      <c r="D167" s="11" t="s">
        <v>497</v>
      </c>
      <c r="E167" s="8" t="s">
        <v>8</v>
      </c>
      <c r="F167" s="8"/>
      <c r="G167" s="10"/>
      <c r="H167" s="10">
        <v>400</v>
      </c>
    </row>
    <row r="168" spans="1:8" s="15" customFormat="1" x14ac:dyDescent="0.15">
      <c r="A168" s="7"/>
      <c r="B168" s="31"/>
      <c r="C168" s="11"/>
      <c r="D168" s="11"/>
      <c r="E168" s="8"/>
      <c r="F168" s="8"/>
      <c r="G168" s="10"/>
      <c r="H168" s="10"/>
    </row>
    <row r="169" spans="1:8" s="15" customFormat="1" ht="14" x14ac:dyDescent="0.15">
      <c r="A169" s="7"/>
      <c r="B169" s="31"/>
      <c r="C169" s="14" t="s">
        <v>502</v>
      </c>
      <c r="D169" s="11"/>
      <c r="E169" s="8"/>
      <c r="F169" s="8"/>
      <c r="G169" s="10"/>
      <c r="H169" s="10"/>
    </row>
    <row r="170" spans="1:8" s="15" customFormat="1" x14ac:dyDescent="0.15">
      <c r="A170" s="7"/>
      <c r="B170" s="31"/>
      <c r="C170" s="1"/>
      <c r="D170" s="11"/>
      <c r="E170" s="8"/>
      <c r="F170" s="9"/>
      <c r="G170" s="10"/>
      <c r="H170" s="19"/>
    </row>
    <row r="171" spans="1:8" s="15" customFormat="1" ht="28" x14ac:dyDescent="0.15">
      <c r="A171" s="7">
        <v>2.64</v>
      </c>
      <c r="B171" s="31" t="s">
        <v>743</v>
      </c>
      <c r="C171" s="11" t="s">
        <v>446</v>
      </c>
      <c r="D171" s="11" t="s">
        <v>239</v>
      </c>
      <c r="E171" s="48" t="s">
        <v>76</v>
      </c>
      <c r="F171" s="8">
        <v>81</v>
      </c>
      <c r="G171" s="10">
        <v>5</v>
      </c>
      <c r="H171" s="10">
        <f>SUM(F171*G171)</f>
        <v>405</v>
      </c>
    </row>
    <row r="172" spans="1:8" s="15" customFormat="1" x14ac:dyDescent="0.15">
      <c r="A172" s="7"/>
      <c r="B172" s="31"/>
      <c r="C172" s="14"/>
      <c r="D172" s="11"/>
      <c r="E172" s="8"/>
      <c r="F172" s="8"/>
      <c r="G172" s="10"/>
      <c r="H172" s="10"/>
    </row>
    <row r="173" spans="1:8" s="11" customFormat="1" ht="28" x14ac:dyDescent="0.15">
      <c r="A173" s="7">
        <v>2.65</v>
      </c>
      <c r="B173" s="31" t="s">
        <v>746</v>
      </c>
      <c r="C173" s="11" t="s">
        <v>447</v>
      </c>
      <c r="D173" s="11" t="s">
        <v>331</v>
      </c>
      <c r="E173" s="8" t="s">
        <v>10</v>
      </c>
      <c r="F173" s="8">
        <v>6</v>
      </c>
      <c r="G173" s="10">
        <v>10</v>
      </c>
      <c r="H173" s="10">
        <f>SUM(F173*G173)</f>
        <v>60</v>
      </c>
    </row>
    <row r="174" spans="1:8" s="15" customFormat="1" x14ac:dyDescent="0.15">
      <c r="A174" s="7"/>
      <c r="B174" s="31"/>
      <c r="C174" s="11"/>
      <c r="D174" s="11"/>
      <c r="E174" s="8"/>
      <c r="F174" s="8"/>
      <c r="G174" s="10"/>
      <c r="H174" s="10"/>
    </row>
    <row r="175" spans="1:8" s="11" customFormat="1" ht="42" x14ac:dyDescent="0.15">
      <c r="A175" s="7">
        <v>2.66</v>
      </c>
      <c r="B175" s="31" t="s">
        <v>743</v>
      </c>
      <c r="C175" s="11" t="s">
        <v>453</v>
      </c>
      <c r="D175" s="11" t="s">
        <v>454</v>
      </c>
      <c r="E175" s="8" t="s">
        <v>11</v>
      </c>
      <c r="F175" s="8">
        <v>12</v>
      </c>
      <c r="G175" s="10">
        <v>8</v>
      </c>
      <c r="H175" s="10">
        <f>SUM(F175*G175)</f>
        <v>96</v>
      </c>
    </row>
    <row r="176" spans="1:8" s="15" customFormat="1" x14ac:dyDescent="0.15">
      <c r="A176" s="7"/>
      <c r="B176" s="58"/>
      <c r="C176" s="62"/>
      <c r="D176" s="59"/>
      <c r="E176" s="60"/>
      <c r="F176" s="60"/>
      <c r="G176" s="61"/>
      <c r="H176" s="61"/>
    </row>
    <row r="177" spans="1:8" s="15" customFormat="1" ht="28" x14ac:dyDescent="0.15">
      <c r="A177" s="7">
        <v>2.67</v>
      </c>
      <c r="B177" s="31" t="s">
        <v>743</v>
      </c>
      <c r="C177" s="11" t="s">
        <v>576</v>
      </c>
      <c r="D177" s="11" t="s">
        <v>448</v>
      </c>
      <c r="E177" s="8" t="s">
        <v>10</v>
      </c>
      <c r="F177" s="8">
        <v>3</v>
      </c>
      <c r="G177" s="10">
        <v>25</v>
      </c>
      <c r="H177" s="10">
        <f>SUM(F177*G177)</f>
        <v>75</v>
      </c>
    </row>
    <row r="178" spans="1:8" s="15" customFormat="1" x14ac:dyDescent="0.15">
      <c r="A178" s="7"/>
      <c r="B178" s="58"/>
      <c r="C178" s="11"/>
      <c r="D178" s="11"/>
      <c r="E178" s="8"/>
      <c r="F178" s="8"/>
      <c r="G178" s="10"/>
      <c r="H178" s="10"/>
    </row>
    <row r="179" spans="1:8" s="15" customFormat="1" ht="14" x14ac:dyDescent="0.15">
      <c r="A179" s="7">
        <v>2.68</v>
      </c>
      <c r="B179" s="31" t="s">
        <v>743</v>
      </c>
      <c r="C179" s="11" t="s">
        <v>460</v>
      </c>
      <c r="D179" s="11" t="s">
        <v>455</v>
      </c>
      <c r="E179" s="8" t="s">
        <v>10</v>
      </c>
      <c r="F179" s="8">
        <v>3</v>
      </c>
      <c r="G179" s="10">
        <v>10</v>
      </c>
      <c r="H179" s="10">
        <f>SUM(F179*G179)</f>
        <v>30</v>
      </c>
    </row>
    <row r="180" spans="1:8" s="15" customFormat="1" x14ac:dyDescent="0.15">
      <c r="A180" s="7"/>
      <c r="B180" s="31"/>
      <c r="C180" s="11"/>
      <c r="D180" s="11"/>
      <c r="E180" s="8"/>
      <c r="F180" s="8"/>
      <c r="G180" s="10"/>
      <c r="H180" s="10"/>
    </row>
    <row r="181" spans="1:8" s="15" customFormat="1" ht="28" x14ac:dyDescent="0.15">
      <c r="A181" s="7">
        <v>2.69</v>
      </c>
      <c r="B181" s="31" t="s">
        <v>743</v>
      </c>
      <c r="C181" s="11" t="s">
        <v>461</v>
      </c>
      <c r="D181" s="11" t="s">
        <v>462</v>
      </c>
      <c r="E181" s="8" t="s">
        <v>10</v>
      </c>
      <c r="F181" s="8">
        <v>3</v>
      </c>
      <c r="G181" s="10">
        <v>10</v>
      </c>
      <c r="H181" s="10">
        <f>SUM(F181*G181)</f>
        <v>30</v>
      </c>
    </row>
    <row r="182" spans="1:8" s="15" customFormat="1" x14ac:dyDescent="0.15">
      <c r="A182" s="7"/>
      <c r="B182" s="31"/>
      <c r="C182" s="11"/>
      <c r="D182" s="11"/>
      <c r="E182" s="8"/>
      <c r="F182" s="8"/>
      <c r="G182" s="10"/>
      <c r="H182" s="10"/>
    </row>
    <row r="183" spans="1:8" s="15" customFormat="1" ht="28" x14ac:dyDescent="0.15">
      <c r="A183" s="7">
        <v>2.7</v>
      </c>
      <c r="B183" s="31" t="s">
        <v>743</v>
      </c>
      <c r="C183" s="11" t="s">
        <v>458</v>
      </c>
      <c r="D183" s="11" t="s">
        <v>425</v>
      </c>
      <c r="E183" s="8" t="s">
        <v>8</v>
      </c>
      <c r="F183" s="8"/>
      <c r="G183" s="10"/>
      <c r="H183" s="10">
        <v>100</v>
      </c>
    </row>
    <row r="184" spans="1:8" s="15" customFormat="1" x14ac:dyDescent="0.15">
      <c r="A184" s="7"/>
      <c r="B184" s="31"/>
      <c r="C184" s="11"/>
      <c r="D184" s="11"/>
      <c r="E184" s="8"/>
      <c r="F184" s="8"/>
      <c r="G184" s="10"/>
      <c r="H184" s="10"/>
    </row>
    <row r="185" spans="1:8" s="15" customFormat="1" ht="28" x14ac:dyDescent="0.15">
      <c r="A185" s="7">
        <v>2.71</v>
      </c>
      <c r="B185" s="31" t="s">
        <v>743</v>
      </c>
      <c r="C185" s="11" t="s">
        <v>500</v>
      </c>
      <c r="D185" s="11" t="s">
        <v>501</v>
      </c>
      <c r="E185" s="8" t="s">
        <v>8</v>
      </c>
      <c r="F185" s="8"/>
      <c r="G185" s="10"/>
      <c r="H185" s="10">
        <v>800</v>
      </c>
    </row>
    <row r="186" spans="1:8" s="15" customFormat="1" x14ac:dyDescent="0.15">
      <c r="A186" s="7"/>
      <c r="B186" s="31"/>
      <c r="C186" s="11"/>
      <c r="D186" s="11"/>
      <c r="E186" s="8"/>
      <c r="F186" s="8"/>
      <c r="G186" s="10"/>
      <c r="H186" s="10"/>
    </row>
    <row r="187" spans="1:8" s="15" customFormat="1" ht="14" x14ac:dyDescent="0.15">
      <c r="A187" s="3">
        <v>3</v>
      </c>
      <c r="B187" s="31"/>
      <c r="C187" s="14" t="s">
        <v>503</v>
      </c>
      <c r="D187" s="11"/>
      <c r="E187" s="8"/>
      <c r="F187" s="8"/>
      <c r="G187" s="10"/>
      <c r="H187" s="10"/>
    </row>
    <row r="188" spans="1:8" s="15" customFormat="1" x14ac:dyDescent="0.15">
      <c r="A188" s="7"/>
      <c r="B188" s="31"/>
      <c r="C188" s="14"/>
      <c r="D188" s="11"/>
      <c r="E188" s="8"/>
      <c r="F188" s="8"/>
      <c r="G188" s="10"/>
      <c r="H188" s="10"/>
    </row>
    <row r="189" spans="1:8" s="15" customFormat="1" ht="42" x14ac:dyDescent="0.15">
      <c r="A189" s="7">
        <v>3.01</v>
      </c>
      <c r="B189" s="31" t="s">
        <v>744</v>
      </c>
      <c r="C189" s="11" t="s">
        <v>357</v>
      </c>
      <c r="D189" s="11" t="s">
        <v>385</v>
      </c>
      <c r="E189" s="8" t="s">
        <v>11</v>
      </c>
      <c r="F189" s="8">
        <v>18</v>
      </c>
      <c r="G189" s="10">
        <v>25</v>
      </c>
      <c r="H189" s="36">
        <f>SUM(F189*G189)</f>
        <v>450</v>
      </c>
    </row>
    <row r="190" spans="1:8" s="15" customFormat="1" x14ac:dyDescent="0.15">
      <c r="A190" s="7"/>
      <c r="B190" s="31"/>
      <c r="C190" s="11"/>
      <c r="D190" s="11"/>
      <c r="E190" s="8"/>
      <c r="F190" s="8"/>
      <c r="G190" s="10"/>
      <c r="H190" s="10"/>
    </row>
    <row r="191" spans="1:8" s="15" customFormat="1" ht="28" x14ac:dyDescent="0.15">
      <c r="A191" s="7">
        <v>3.02</v>
      </c>
      <c r="B191" s="31" t="s">
        <v>743</v>
      </c>
      <c r="C191" s="11" t="s">
        <v>362</v>
      </c>
      <c r="D191" s="11" t="s">
        <v>363</v>
      </c>
      <c r="E191" s="8" t="s">
        <v>8</v>
      </c>
      <c r="F191" s="8"/>
      <c r="G191" s="10"/>
      <c r="H191" s="10">
        <v>120</v>
      </c>
    </row>
    <row r="192" spans="1:8" s="15" customFormat="1" x14ac:dyDescent="0.15">
      <c r="A192" s="7"/>
      <c r="B192" s="31"/>
      <c r="C192" s="14"/>
      <c r="D192" s="11"/>
      <c r="E192" s="8"/>
      <c r="F192" s="8"/>
      <c r="G192" s="10"/>
      <c r="H192" s="10"/>
    </row>
    <row r="193" spans="1:8" s="15" customFormat="1" ht="42" x14ac:dyDescent="0.15">
      <c r="A193" s="7">
        <v>3.03</v>
      </c>
      <c r="B193" s="31" t="s">
        <v>743</v>
      </c>
      <c r="C193" s="11" t="s">
        <v>504</v>
      </c>
      <c r="D193" s="11" t="s">
        <v>360</v>
      </c>
      <c r="E193" s="8" t="s">
        <v>339</v>
      </c>
      <c r="F193" s="8">
        <v>63</v>
      </c>
      <c r="G193" s="10">
        <v>80</v>
      </c>
      <c r="H193" s="36">
        <f>SUM(F193*G193)</f>
        <v>5040</v>
      </c>
    </row>
    <row r="194" spans="1:8" s="15" customFormat="1" x14ac:dyDescent="0.15">
      <c r="A194" s="7"/>
      <c r="B194" s="31"/>
      <c r="C194" s="14"/>
      <c r="D194" s="11"/>
      <c r="E194" s="8"/>
      <c r="F194" s="8"/>
      <c r="G194" s="10"/>
      <c r="H194" s="10"/>
    </row>
    <row r="195" spans="1:8" s="15" customFormat="1" ht="42" x14ac:dyDescent="0.15">
      <c r="A195" s="7">
        <v>3.04</v>
      </c>
      <c r="B195" s="31" t="s">
        <v>743</v>
      </c>
      <c r="C195" s="11" t="s">
        <v>522</v>
      </c>
      <c r="D195" s="11" t="s">
        <v>340</v>
      </c>
      <c r="E195" s="8" t="s">
        <v>8</v>
      </c>
      <c r="F195" s="8"/>
      <c r="G195" s="10"/>
      <c r="H195" s="10">
        <v>1800</v>
      </c>
    </row>
    <row r="196" spans="1:8" s="15" customFormat="1" x14ac:dyDescent="0.15">
      <c r="A196" s="7"/>
      <c r="B196" s="31"/>
      <c r="C196" s="14"/>
      <c r="D196" s="11"/>
      <c r="E196" s="8"/>
      <c r="F196" s="8"/>
      <c r="G196" s="10"/>
      <c r="H196" s="10"/>
    </row>
    <row r="197" spans="1:8" s="15" customFormat="1" ht="44" x14ac:dyDescent="0.15">
      <c r="A197" s="7">
        <v>3.05</v>
      </c>
      <c r="B197" s="31" t="s">
        <v>743</v>
      </c>
      <c r="C197" s="11" t="s">
        <v>429</v>
      </c>
      <c r="D197" s="11" t="s">
        <v>341</v>
      </c>
      <c r="E197" s="8" t="s">
        <v>8</v>
      </c>
      <c r="F197" s="8"/>
      <c r="G197" s="10"/>
      <c r="H197" s="10">
        <v>1200</v>
      </c>
    </row>
    <row r="198" spans="1:8" s="15" customFormat="1" x14ac:dyDescent="0.15">
      <c r="A198" s="7"/>
      <c r="B198" s="31"/>
      <c r="C198" s="14"/>
      <c r="D198" s="11"/>
      <c r="E198" s="8"/>
      <c r="F198" s="8"/>
      <c r="G198" s="10"/>
      <c r="H198" s="10"/>
    </row>
    <row r="199" spans="1:8" s="15" customFormat="1" ht="56" x14ac:dyDescent="0.15">
      <c r="A199" s="7">
        <v>3.06</v>
      </c>
      <c r="B199" s="31" t="s">
        <v>744</v>
      </c>
      <c r="C199" s="11" t="s">
        <v>342</v>
      </c>
      <c r="D199" s="11" t="s">
        <v>343</v>
      </c>
      <c r="E199" s="8" t="s">
        <v>10</v>
      </c>
      <c r="F199" s="8">
        <v>5</v>
      </c>
      <c r="G199" s="10">
        <v>250</v>
      </c>
      <c r="H199" s="36">
        <f>SUM(F199*G199)</f>
        <v>1250</v>
      </c>
    </row>
    <row r="200" spans="1:8" s="15" customFormat="1" x14ac:dyDescent="0.15">
      <c r="A200" s="7"/>
      <c r="B200" s="31"/>
      <c r="C200" s="14"/>
      <c r="D200" s="11"/>
      <c r="E200" s="8"/>
      <c r="F200" s="8"/>
      <c r="G200" s="10"/>
      <c r="H200" s="10"/>
    </row>
    <row r="201" spans="1:8" s="15" customFormat="1" ht="14" x14ac:dyDescent="0.15">
      <c r="A201" s="7">
        <v>3.07</v>
      </c>
      <c r="B201" s="31" t="s">
        <v>746</v>
      </c>
      <c r="C201" s="11" t="s">
        <v>344</v>
      </c>
      <c r="D201" s="11" t="s">
        <v>345</v>
      </c>
      <c r="E201" s="8" t="s">
        <v>10</v>
      </c>
      <c r="F201" s="8">
        <v>6</v>
      </c>
      <c r="G201" s="10">
        <v>10</v>
      </c>
      <c r="H201" s="36">
        <f>SUM(F201*G201)</f>
        <v>60</v>
      </c>
    </row>
    <row r="202" spans="1:8" s="15" customFormat="1" x14ac:dyDescent="0.15">
      <c r="A202" s="7"/>
      <c r="B202" s="31"/>
      <c r="C202" s="11"/>
      <c r="D202" s="11"/>
      <c r="E202" s="8"/>
      <c r="F202" s="8"/>
      <c r="G202" s="10"/>
      <c r="H202" s="10"/>
    </row>
    <row r="203" spans="1:8" s="15" customFormat="1" ht="28" x14ac:dyDescent="0.15">
      <c r="A203" s="7">
        <v>3.08</v>
      </c>
      <c r="B203" s="31" t="s">
        <v>743</v>
      </c>
      <c r="C203" s="11" t="s">
        <v>346</v>
      </c>
      <c r="D203" s="11" t="s">
        <v>430</v>
      </c>
      <c r="E203" s="8" t="s">
        <v>8</v>
      </c>
      <c r="F203" s="8"/>
      <c r="G203" s="10"/>
      <c r="H203" s="10">
        <v>600</v>
      </c>
    </row>
    <row r="204" spans="1:8" s="15" customFormat="1" x14ac:dyDescent="0.15">
      <c r="A204" s="7"/>
      <c r="B204" s="31"/>
      <c r="C204" s="11"/>
      <c r="D204" s="11"/>
      <c r="E204" s="8"/>
      <c r="F204" s="8"/>
      <c r="G204" s="10"/>
      <c r="H204" s="10"/>
    </row>
    <row r="205" spans="1:8" s="15" customFormat="1" ht="14" x14ac:dyDescent="0.15">
      <c r="A205" s="7">
        <v>3.09</v>
      </c>
      <c r="B205" s="31" t="s">
        <v>743</v>
      </c>
      <c r="C205" s="11" t="s">
        <v>358</v>
      </c>
      <c r="D205" s="11" t="s">
        <v>347</v>
      </c>
      <c r="E205" s="8" t="s">
        <v>10</v>
      </c>
      <c r="F205" s="8">
        <v>2</v>
      </c>
      <c r="G205" s="10">
        <v>50</v>
      </c>
      <c r="H205" s="36">
        <f>SUM(F205*G205)</f>
        <v>100</v>
      </c>
    </row>
    <row r="206" spans="1:8" s="15" customFormat="1" x14ac:dyDescent="0.15">
      <c r="A206" s="7"/>
      <c r="B206" s="31"/>
      <c r="C206" s="11"/>
      <c r="D206" s="11"/>
      <c r="E206" s="8"/>
      <c r="F206" s="8"/>
      <c r="G206" s="10"/>
      <c r="H206" s="10"/>
    </row>
    <row r="207" spans="1:8" s="15" customFormat="1" ht="14" x14ac:dyDescent="0.15">
      <c r="A207" s="7"/>
      <c r="B207" s="31"/>
      <c r="C207" s="14" t="s">
        <v>505</v>
      </c>
      <c r="D207" s="11"/>
      <c r="E207" s="8"/>
      <c r="F207" s="8"/>
      <c r="G207" s="10"/>
      <c r="H207" s="10"/>
    </row>
    <row r="208" spans="1:8" s="15" customFormat="1" x14ac:dyDescent="0.15">
      <c r="A208" s="7"/>
      <c r="B208" s="31"/>
      <c r="C208" s="14"/>
      <c r="D208" s="11"/>
      <c r="E208" s="8"/>
      <c r="F208" s="8"/>
      <c r="G208" s="10"/>
      <c r="H208" s="10"/>
    </row>
    <row r="209" spans="1:9" s="15" customFormat="1" ht="42" x14ac:dyDescent="0.15">
      <c r="A209" s="7">
        <v>3.1</v>
      </c>
      <c r="B209" s="31" t="s">
        <v>743</v>
      </c>
      <c r="C209" s="11" t="s">
        <v>359</v>
      </c>
      <c r="D209" s="11" t="s">
        <v>360</v>
      </c>
      <c r="E209" s="8" t="s">
        <v>339</v>
      </c>
      <c r="F209" s="8">
        <v>11</v>
      </c>
      <c r="G209" s="10">
        <v>80</v>
      </c>
      <c r="H209" s="36">
        <f>SUM(F209*G209)</f>
        <v>880</v>
      </c>
    </row>
    <row r="210" spans="1:9" s="15" customFormat="1" x14ac:dyDescent="0.15">
      <c r="A210" s="7"/>
      <c r="B210" s="31"/>
      <c r="C210" s="11"/>
      <c r="D210" s="11"/>
      <c r="E210" s="8"/>
      <c r="F210" s="8"/>
      <c r="G210" s="10"/>
      <c r="H210" s="10"/>
    </row>
    <row r="211" spans="1:9" s="15" customFormat="1" ht="44" x14ac:dyDescent="0.15">
      <c r="A211" s="7">
        <v>3.11</v>
      </c>
      <c r="B211" s="31" t="s">
        <v>743</v>
      </c>
      <c r="C211" s="11" t="s">
        <v>349</v>
      </c>
      <c r="D211" s="11" t="s">
        <v>361</v>
      </c>
      <c r="E211" s="8" t="s">
        <v>8</v>
      </c>
      <c r="F211" s="8"/>
      <c r="G211" s="10"/>
      <c r="H211" s="10">
        <v>500</v>
      </c>
    </row>
    <row r="212" spans="1:9" s="15" customFormat="1" x14ac:dyDescent="0.15">
      <c r="A212" s="63"/>
      <c r="B212" s="31"/>
      <c r="C212" s="11"/>
      <c r="D212" s="11"/>
      <c r="E212" s="8"/>
      <c r="F212" s="8"/>
      <c r="G212" s="10"/>
      <c r="H212" s="10"/>
    </row>
    <row r="213" spans="1:9" s="15" customFormat="1" ht="14" x14ac:dyDescent="0.15">
      <c r="A213" s="63">
        <v>3.12</v>
      </c>
      <c r="B213" s="31" t="s">
        <v>746</v>
      </c>
      <c r="C213" s="11" t="s">
        <v>344</v>
      </c>
      <c r="D213" s="11" t="s">
        <v>345</v>
      </c>
      <c r="E213" s="8" t="s">
        <v>10</v>
      </c>
      <c r="F213" s="8">
        <v>8</v>
      </c>
      <c r="G213" s="10">
        <v>10</v>
      </c>
      <c r="H213" s="36">
        <f>SUM(F213*G213)</f>
        <v>80</v>
      </c>
    </row>
    <row r="214" spans="1:9" s="15" customFormat="1" x14ac:dyDescent="0.15">
      <c r="A214" s="63"/>
      <c r="B214" s="31"/>
      <c r="C214" s="11"/>
      <c r="D214" s="11"/>
      <c r="E214" s="8"/>
      <c r="F214" s="8"/>
      <c r="G214" s="10"/>
      <c r="H214" s="10"/>
    </row>
    <row r="215" spans="1:9" s="15" customFormat="1" ht="14" x14ac:dyDescent="0.15">
      <c r="A215" s="63">
        <v>3.13</v>
      </c>
      <c r="B215" s="31" t="s">
        <v>743</v>
      </c>
      <c r="C215" s="11" t="s">
        <v>350</v>
      </c>
      <c r="D215" s="11" t="s">
        <v>347</v>
      </c>
      <c r="E215" s="8" t="s">
        <v>10</v>
      </c>
      <c r="F215" s="8">
        <v>8</v>
      </c>
      <c r="G215" s="10">
        <v>50</v>
      </c>
      <c r="H215" s="36">
        <f>SUM(F215*G215)</f>
        <v>400</v>
      </c>
    </row>
    <row r="216" spans="1:9" s="15" customFormat="1" x14ac:dyDescent="0.15">
      <c r="A216" s="63"/>
      <c r="B216" s="31"/>
      <c r="C216" s="11"/>
      <c r="D216" s="11"/>
      <c r="E216" s="8"/>
      <c r="F216" s="8"/>
      <c r="G216" s="10"/>
      <c r="H216" s="10"/>
    </row>
    <row r="217" spans="1:9" s="15" customFormat="1" ht="28" x14ac:dyDescent="0.15">
      <c r="A217" s="63">
        <v>3.14</v>
      </c>
      <c r="B217" s="31" t="s">
        <v>743</v>
      </c>
      <c r="C217" s="11" t="s">
        <v>509</v>
      </c>
      <c r="D217" s="11" t="s">
        <v>430</v>
      </c>
      <c r="E217" s="8" t="s">
        <v>240</v>
      </c>
      <c r="F217" s="8">
        <v>4</v>
      </c>
      <c r="G217" s="10">
        <v>250</v>
      </c>
      <c r="H217" s="36">
        <f>SUM(F217*G217)</f>
        <v>1000</v>
      </c>
    </row>
    <row r="218" spans="1:9" s="15" customFormat="1" x14ac:dyDescent="0.15">
      <c r="A218" s="63"/>
      <c r="B218" s="31"/>
      <c r="C218" s="11"/>
      <c r="D218" s="11"/>
      <c r="E218" s="8"/>
      <c r="F218" s="8"/>
      <c r="G218" s="10"/>
      <c r="H218" s="10"/>
    </row>
    <row r="219" spans="1:9" s="15" customFormat="1" ht="42" x14ac:dyDescent="0.15">
      <c r="A219" s="63">
        <v>3.15</v>
      </c>
      <c r="B219" s="31" t="s">
        <v>744</v>
      </c>
      <c r="C219" s="11" t="s">
        <v>351</v>
      </c>
      <c r="D219" s="11" t="s">
        <v>352</v>
      </c>
      <c r="E219" s="8" t="s">
        <v>10</v>
      </c>
      <c r="F219" s="8">
        <v>4</v>
      </c>
      <c r="G219" s="10">
        <v>50</v>
      </c>
      <c r="H219" s="36">
        <f>SUM(F219*G219)</f>
        <v>200</v>
      </c>
      <c r="I219" s="11"/>
    </row>
    <row r="220" spans="1:9" s="15" customFormat="1" x14ac:dyDescent="0.15">
      <c r="A220" s="63"/>
      <c r="B220" s="31"/>
      <c r="C220" s="11"/>
      <c r="D220" s="11"/>
      <c r="E220" s="8"/>
      <c r="F220" s="8"/>
      <c r="G220" s="10"/>
      <c r="H220" s="10"/>
      <c r="I220" s="11"/>
    </row>
    <row r="221" spans="1:9" s="15" customFormat="1" ht="28" x14ac:dyDescent="0.15">
      <c r="A221" s="63">
        <v>3.16</v>
      </c>
      <c r="B221" s="31" t="s">
        <v>743</v>
      </c>
      <c r="C221" s="11" t="s">
        <v>353</v>
      </c>
      <c r="D221" s="11" t="s">
        <v>523</v>
      </c>
      <c r="E221" s="8" t="s">
        <v>8</v>
      </c>
      <c r="F221" s="8"/>
      <c r="G221" s="10"/>
      <c r="H221" s="10">
        <v>150</v>
      </c>
      <c r="I221" s="11"/>
    </row>
    <row r="222" spans="1:9" s="15" customFormat="1" x14ac:dyDescent="0.15">
      <c r="A222" s="63"/>
      <c r="B222" s="31"/>
      <c r="C222" s="11"/>
      <c r="D222" s="11"/>
      <c r="E222" s="8"/>
      <c r="F222" s="8"/>
      <c r="G222" s="10"/>
      <c r="H222" s="10"/>
      <c r="I222" s="11"/>
    </row>
    <row r="223" spans="1:9" s="15" customFormat="1" ht="14" x14ac:dyDescent="0.15">
      <c r="A223" s="63"/>
      <c r="B223" s="31"/>
      <c r="C223" s="14" t="s">
        <v>506</v>
      </c>
      <c r="D223" s="11"/>
      <c r="E223" s="8"/>
      <c r="F223" s="8"/>
      <c r="G223" s="10"/>
      <c r="H223" s="10"/>
      <c r="I223" s="11"/>
    </row>
    <row r="224" spans="1:9" s="15" customFormat="1" x14ac:dyDescent="0.15">
      <c r="A224" s="63"/>
      <c r="B224" s="31"/>
      <c r="C224" s="14"/>
      <c r="D224" s="11"/>
      <c r="E224" s="8"/>
      <c r="F224" s="8"/>
      <c r="G224" s="10"/>
      <c r="H224" s="10"/>
      <c r="I224" s="11"/>
    </row>
    <row r="225" spans="1:9" s="15" customFormat="1" ht="42" x14ac:dyDescent="0.15">
      <c r="A225" s="63">
        <v>3.17</v>
      </c>
      <c r="B225" s="31" t="s">
        <v>743</v>
      </c>
      <c r="C225" s="37" t="s">
        <v>453</v>
      </c>
      <c r="D225" s="11" t="s">
        <v>454</v>
      </c>
      <c r="E225" s="8" t="s">
        <v>11</v>
      </c>
      <c r="F225" s="8">
        <v>18</v>
      </c>
      <c r="G225" s="10">
        <v>10</v>
      </c>
      <c r="H225" s="36">
        <f>SUM(F225*G225)</f>
        <v>180</v>
      </c>
      <c r="I225" s="11"/>
    </row>
    <row r="226" spans="1:9" s="15" customFormat="1" x14ac:dyDescent="0.15">
      <c r="A226" s="63"/>
      <c r="B226" s="31"/>
      <c r="C226" s="14"/>
      <c r="D226" s="11"/>
      <c r="E226" s="8"/>
      <c r="F226" s="8"/>
      <c r="G226" s="10"/>
      <c r="H226" s="10"/>
      <c r="I226" s="11"/>
    </row>
    <row r="227" spans="1:9" s="15" customFormat="1" ht="14" x14ac:dyDescent="0.15">
      <c r="A227" s="63">
        <v>3.18</v>
      </c>
      <c r="B227" s="31" t="s">
        <v>743</v>
      </c>
      <c r="C227" s="11" t="s">
        <v>354</v>
      </c>
      <c r="D227" s="11" t="s">
        <v>356</v>
      </c>
      <c r="E227" s="8" t="s">
        <v>8</v>
      </c>
      <c r="F227" s="8"/>
      <c r="G227" s="10"/>
      <c r="H227" s="10">
        <v>100</v>
      </c>
      <c r="I227" s="11"/>
    </row>
    <row r="228" spans="1:9" s="15" customFormat="1" x14ac:dyDescent="0.15">
      <c r="A228" s="63"/>
      <c r="B228" s="31"/>
      <c r="C228" s="11"/>
      <c r="D228" s="11"/>
      <c r="E228" s="8"/>
      <c r="F228" s="8"/>
      <c r="G228" s="10"/>
      <c r="H228" s="10"/>
      <c r="I228" s="11"/>
    </row>
    <row r="229" spans="1:9" s="15" customFormat="1" ht="14" x14ac:dyDescent="0.15">
      <c r="A229" s="63">
        <v>3.19</v>
      </c>
      <c r="B229" s="31" t="s">
        <v>743</v>
      </c>
      <c r="C229" s="11" t="s">
        <v>355</v>
      </c>
      <c r="D229" s="11" t="s">
        <v>787</v>
      </c>
      <c r="E229" s="8" t="s">
        <v>8</v>
      </c>
      <c r="F229" s="8"/>
      <c r="G229" s="10"/>
      <c r="H229" s="10" t="s">
        <v>26</v>
      </c>
      <c r="I229" s="11"/>
    </row>
    <row r="230" spans="1:9" s="15" customFormat="1" x14ac:dyDescent="0.15">
      <c r="A230" s="63"/>
      <c r="B230" s="31"/>
      <c r="C230" s="11"/>
      <c r="D230" s="11"/>
      <c r="E230" s="8"/>
      <c r="F230" s="8"/>
      <c r="G230" s="10"/>
      <c r="H230" s="10"/>
      <c r="I230" s="11"/>
    </row>
    <row r="231" spans="1:9" s="15" customFormat="1" ht="14" x14ac:dyDescent="0.15">
      <c r="A231" s="64">
        <v>3.2</v>
      </c>
      <c r="B231" s="31" t="s">
        <v>743</v>
      </c>
      <c r="C231" s="11" t="s">
        <v>459</v>
      </c>
      <c r="D231" s="11" t="s">
        <v>455</v>
      </c>
      <c r="E231" s="8" t="s">
        <v>240</v>
      </c>
      <c r="F231" s="8">
        <v>6</v>
      </c>
      <c r="G231" s="10">
        <v>10</v>
      </c>
      <c r="H231" s="36">
        <f>SUM(F231*G231)</f>
        <v>60</v>
      </c>
      <c r="I231" s="11"/>
    </row>
    <row r="232" spans="1:9" s="15" customFormat="1" x14ac:dyDescent="0.15">
      <c r="A232" s="63"/>
      <c r="B232" s="31"/>
      <c r="C232" s="11"/>
      <c r="D232" s="11"/>
      <c r="E232" s="8"/>
      <c r="F232" s="8"/>
      <c r="G232" s="10"/>
      <c r="H232" s="10"/>
      <c r="I232" s="11"/>
    </row>
    <row r="233" spans="1:9" s="15" customFormat="1" ht="42" x14ac:dyDescent="0.15">
      <c r="A233" s="63">
        <v>3.21</v>
      </c>
      <c r="B233" s="31" t="s">
        <v>744</v>
      </c>
      <c r="C233" s="11" t="s">
        <v>351</v>
      </c>
      <c r="D233" s="11" t="s">
        <v>352</v>
      </c>
      <c r="E233" s="8" t="s">
        <v>10</v>
      </c>
      <c r="F233" s="8">
        <v>6</v>
      </c>
      <c r="G233" s="10">
        <v>50</v>
      </c>
      <c r="H233" s="36">
        <f>SUM(F233*G233)</f>
        <v>300</v>
      </c>
      <c r="I233" s="11"/>
    </row>
    <row r="234" spans="1:9" s="15" customFormat="1" x14ac:dyDescent="0.15">
      <c r="A234" s="63"/>
      <c r="B234" s="31"/>
      <c r="C234" s="11"/>
      <c r="D234" s="11"/>
      <c r="E234" s="8"/>
      <c r="F234" s="8"/>
      <c r="G234" s="10"/>
      <c r="H234" s="10"/>
      <c r="I234" s="11"/>
    </row>
    <row r="235" spans="1:9" s="15" customFormat="1" ht="14" x14ac:dyDescent="0.15">
      <c r="A235" s="64">
        <v>3.22</v>
      </c>
      <c r="B235" s="31" t="s">
        <v>746</v>
      </c>
      <c r="C235" s="11" t="s">
        <v>344</v>
      </c>
      <c r="D235" s="11" t="s">
        <v>345</v>
      </c>
      <c r="E235" s="8" t="s">
        <v>10</v>
      </c>
      <c r="F235" s="8">
        <v>6</v>
      </c>
      <c r="G235" s="10">
        <v>10</v>
      </c>
      <c r="H235" s="36">
        <f>SUM(F235*G235)</f>
        <v>60</v>
      </c>
      <c r="I235" s="11"/>
    </row>
    <row r="236" spans="1:9" s="15" customFormat="1" x14ac:dyDescent="0.15">
      <c r="A236" s="63"/>
      <c r="C236" s="11"/>
      <c r="D236" s="11"/>
      <c r="E236" s="8"/>
      <c r="F236" s="8"/>
      <c r="G236" s="10"/>
      <c r="H236" s="36"/>
      <c r="I236" s="11"/>
    </row>
    <row r="237" spans="1:9" s="15" customFormat="1" ht="28" x14ac:dyDescent="0.15">
      <c r="A237" s="63">
        <v>3.23</v>
      </c>
      <c r="B237" s="31" t="s">
        <v>743</v>
      </c>
      <c r="C237" s="11" t="s">
        <v>576</v>
      </c>
      <c r="D237" s="11" t="s">
        <v>448</v>
      </c>
      <c r="E237" s="8" t="s">
        <v>10</v>
      </c>
      <c r="F237" s="8">
        <v>3</v>
      </c>
      <c r="G237" s="10">
        <v>200</v>
      </c>
      <c r="H237" s="10">
        <f>SUM(F237*G237)</f>
        <v>600</v>
      </c>
      <c r="I237" s="11"/>
    </row>
    <row r="238" spans="1:9" s="15" customFormat="1" x14ac:dyDescent="0.15">
      <c r="A238" s="63"/>
      <c r="C238" s="11"/>
      <c r="D238" s="11"/>
      <c r="E238" s="8"/>
      <c r="F238" s="8"/>
      <c r="G238" s="10"/>
      <c r="H238" s="10"/>
      <c r="I238" s="11"/>
    </row>
    <row r="239" spans="1:9" s="15" customFormat="1" ht="14" x14ac:dyDescent="0.15">
      <c r="A239" s="63"/>
      <c r="C239" s="14" t="s">
        <v>603</v>
      </c>
      <c r="E239" s="63"/>
      <c r="F239" s="63"/>
      <c r="G239" s="20"/>
      <c r="H239" s="20"/>
      <c r="I239" s="11"/>
    </row>
    <row r="240" spans="1:9" s="15" customFormat="1" x14ac:dyDescent="0.15">
      <c r="A240" s="63"/>
      <c r="E240" s="63"/>
      <c r="F240" s="63"/>
      <c r="G240" s="20"/>
      <c r="H240" s="20"/>
      <c r="I240" s="11"/>
    </row>
    <row r="241" spans="1:9" s="15" customFormat="1" ht="14" x14ac:dyDescent="0.15">
      <c r="A241" s="64">
        <v>3.24</v>
      </c>
      <c r="B241" s="31" t="s">
        <v>743</v>
      </c>
      <c r="C241" s="15" t="s">
        <v>451</v>
      </c>
      <c r="D241" s="15" t="s">
        <v>452</v>
      </c>
      <c r="E241" s="8" t="s">
        <v>11</v>
      </c>
      <c r="F241" s="63">
        <v>10</v>
      </c>
      <c r="G241" s="20">
        <v>5</v>
      </c>
      <c r="H241" s="10">
        <f>SUM(F241*G241)</f>
        <v>50</v>
      </c>
      <c r="I241" s="11"/>
    </row>
    <row r="242" spans="1:9" s="15" customFormat="1" x14ac:dyDescent="0.15">
      <c r="A242" s="63"/>
      <c r="E242" s="63"/>
      <c r="F242" s="63"/>
      <c r="G242" s="20"/>
      <c r="H242" s="20"/>
      <c r="I242" s="11"/>
    </row>
    <row r="243" spans="1:9" s="15" customFormat="1" ht="42" x14ac:dyDescent="0.15">
      <c r="A243" s="63">
        <v>3.25</v>
      </c>
      <c r="B243" s="31" t="s">
        <v>743</v>
      </c>
      <c r="C243" s="11" t="s">
        <v>580</v>
      </c>
      <c r="D243" s="15" t="s">
        <v>507</v>
      </c>
      <c r="E243" s="8" t="s">
        <v>11</v>
      </c>
      <c r="F243" s="63">
        <v>6</v>
      </c>
      <c r="G243" s="20">
        <v>10</v>
      </c>
      <c r="H243" s="10">
        <f>SUM(F243*G243)</f>
        <v>60</v>
      </c>
      <c r="I243" s="11"/>
    </row>
    <row r="244" spans="1:9" s="15" customFormat="1" x14ac:dyDescent="0.15">
      <c r="A244" s="63"/>
      <c r="E244" s="63"/>
      <c r="F244" s="63"/>
      <c r="G244" s="20"/>
      <c r="H244" s="20"/>
      <c r="I244" s="11"/>
    </row>
    <row r="245" spans="1:9" s="15" customFormat="1" ht="42" x14ac:dyDescent="0.15">
      <c r="A245" s="64">
        <v>3.26</v>
      </c>
      <c r="B245" s="31" t="s">
        <v>744</v>
      </c>
      <c r="C245" s="37" t="s">
        <v>508</v>
      </c>
      <c r="D245" s="37" t="s">
        <v>352</v>
      </c>
      <c r="E245" s="44" t="s">
        <v>10</v>
      </c>
      <c r="F245" s="44">
        <v>1</v>
      </c>
      <c r="G245" s="20">
        <v>50</v>
      </c>
      <c r="H245" s="10">
        <f>SUM(F245*G245)</f>
        <v>50</v>
      </c>
      <c r="I245" s="11"/>
    </row>
    <row r="246" spans="1:9" s="15" customFormat="1" x14ac:dyDescent="0.15">
      <c r="A246" s="63"/>
      <c r="B246" s="11"/>
      <c r="C246" s="37"/>
      <c r="D246" s="37"/>
      <c r="E246" s="44"/>
      <c r="F246" s="44"/>
      <c r="G246" s="20"/>
      <c r="H246" s="20"/>
      <c r="I246" s="11"/>
    </row>
    <row r="247" spans="1:9" s="15" customFormat="1" ht="14" x14ac:dyDescent="0.15">
      <c r="A247" s="7">
        <v>3.27</v>
      </c>
      <c r="B247" s="31" t="s">
        <v>746</v>
      </c>
      <c r="C247" s="11" t="s">
        <v>344</v>
      </c>
      <c r="D247" s="11" t="s">
        <v>345</v>
      </c>
      <c r="E247" s="44" t="s">
        <v>10</v>
      </c>
      <c r="F247" s="44">
        <v>1</v>
      </c>
      <c r="G247" s="10">
        <v>10</v>
      </c>
      <c r="H247" s="10">
        <f>SUM(F247*G247)</f>
        <v>10</v>
      </c>
      <c r="I247" s="11"/>
    </row>
    <row r="248" spans="1:9" s="15" customFormat="1" x14ac:dyDescent="0.15">
      <c r="A248" s="7"/>
      <c r="C248" s="11"/>
      <c r="D248" s="11"/>
      <c r="E248" s="8"/>
      <c r="F248" s="8"/>
      <c r="G248" s="10"/>
      <c r="H248" s="10"/>
      <c r="I248" s="11"/>
    </row>
    <row r="249" spans="1:9" s="15" customFormat="1" ht="28" x14ac:dyDescent="0.15">
      <c r="A249" s="7">
        <v>3.28</v>
      </c>
      <c r="B249" s="31" t="s">
        <v>744</v>
      </c>
      <c r="C249" s="11" t="s">
        <v>456</v>
      </c>
      <c r="D249" s="11" t="s">
        <v>457</v>
      </c>
      <c r="E249" s="8" t="s">
        <v>8</v>
      </c>
      <c r="F249" s="8"/>
      <c r="G249" s="10"/>
      <c r="H249" s="10">
        <v>120</v>
      </c>
      <c r="I249" s="11"/>
    </row>
    <row r="250" spans="1:9" s="15" customFormat="1" x14ac:dyDescent="0.15">
      <c r="A250" s="7"/>
      <c r="B250" s="31"/>
      <c r="C250" s="11"/>
      <c r="D250" s="11"/>
      <c r="E250" s="8"/>
      <c r="F250" s="8"/>
      <c r="G250" s="10"/>
      <c r="H250" s="10"/>
      <c r="I250" s="11"/>
    </row>
    <row r="251" spans="1:9" s="15" customFormat="1" ht="14" x14ac:dyDescent="0.15">
      <c r="A251" s="3">
        <v>4</v>
      </c>
      <c r="B251" s="31"/>
      <c r="C251" s="14" t="s">
        <v>449</v>
      </c>
      <c r="D251" s="11"/>
      <c r="E251" s="8"/>
      <c r="F251" s="8"/>
      <c r="G251" s="10"/>
      <c r="H251" s="10"/>
      <c r="I251" s="11"/>
    </row>
    <row r="252" spans="1:9" s="15" customFormat="1" x14ac:dyDescent="0.15">
      <c r="A252" s="7"/>
      <c r="B252" s="31"/>
      <c r="C252" s="11"/>
      <c r="D252" s="11"/>
      <c r="E252" s="8"/>
      <c r="F252" s="8"/>
      <c r="G252" s="10"/>
      <c r="H252" s="10"/>
      <c r="I252" s="11"/>
    </row>
    <row r="253" spans="1:9" s="11" customFormat="1" ht="28" x14ac:dyDescent="0.15">
      <c r="A253" s="7">
        <v>4.01</v>
      </c>
      <c r="B253" s="31" t="s">
        <v>743</v>
      </c>
      <c r="C253" s="11" t="s">
        <v>364</v>
      </c>
      <c r="D253" s="11" t="s">
        <v>365</v>
      </c>
      <c r="E253" s="8" t="s">
        <v>8</v>
      </c>
      <c r="F253" s="8"/>
      <c r="G253" s="10"/>
      <c r="H253" s="10">
        <v>150</v>
      </c>
    </row>
    <row r="254" spans="1:9" s="11" customFormat="1" x14ac:dyDescent="0.15">
      <c r="A254" s="7"/>
      <c r="B254" s="31"/>
      <c r="E254" s="8"/>
      <c r="F254" s="8"/>
      <c r="G254" s="10"/>
      <c r="H254" s="10"/>
    </row>
    <row r="255" spans="1:9" s="11" customFormat="1" ht="14" x14ac:dyDescent="0.15">
      <c r="A255" s="7">
        <v>4.0199999999999996</v>
      </c>
      <c r="B255" s="31" t="s">
        <v>743</v>
      </c>
      <c r="C255" s="11" t="s">
        <v>366</v>
      </c>
      <c r="D255" s="11" t="s">
        <v>367</v>
      </c>
      <c r="E255" s="8" t="s">
        <v>240</v>
      </c>
      <c r="F255" s="9">
        <v>2</v>
      </c>
      <c r="G255" s="10">
        <v>200</v>
      </c>
      <c r="H255" s="10">
        <f>SUM(F255*G255)</f>
        <v>400</v>
      </c>
    </row>
    <row r="256" spans="1:9" s="11" customFormat="1" x14ac:dyDescent="0.15">
      <c r="A256" s="7"/>
      <c r="B256" s="31"/>
      <c r="E256" s="8"/>
      <c r="F256" s="9"/>
      <c r="G256" s="10"/>
      <c r="H256" s="10"/>
    </row>
    <row r="257" spans="1:9" s="11" customFormat="1" ht="28" x14ac:dyDescent="0.15">
      <c r="A257" s="7">
        <v>4.03</v>
      </c>
      <c r="B257" s="31" t="s">
        <v>743</v>
      </c>
      <c r="C257" s="11" t="s">
        <v>368</v>
      </c>
      <c r="D257" s="11" t="s">
        <v>369</v>
      </c>
      <c r="E257" s="8" t="s">
        <v>339</v>
      </c>
      <c r="F257" s="9"/>
      <c r="G257" s="10"/>
      <c r="H257" s="10">
        <v>3000</v>
      </c>
    </row>
    <row r="258" spans="1:9" s="11" customFormat="1" x14ac:dyDescent="0.15">
      <c r="A258" s="7"/>
      <c r="B258" s="31"/>
      <c r="E258" s="8"/>
      <c r="F258" s="9"/>
      <c r="G258" s="10"/>
      <c r="H258" s="10"/>
      <c r="I258" s="14"/>
    </row>
    <row r="259" spans="1:9" s="11" customFormat="1" ht="28" x14ac:dyDescent="0.15">
      <c r="A259" s="7">
        <v>4.04</v>
      </c>
      <c r="B259" s="31" t="s">
        <v>743</v>
      </c>
      <c r="C259" s="11" t="s">
        <v>370</v>
      </c>
      <c r="D259" s="11" t="s">
        <v>371</v>
      </c>
      <c r="E259" s="8" t="s">
        <v>339</v>
      </c>
      <c r="F259" s="8"/>
      <c r="G259" s="10"/>
      <c r="H259" s="10" t="s">
        <v>781</v>
      </c>
    </row>
    <row r="260" spans="1:9" s="11" customFormat="1" x14ac:dyDescent="0.15">
      <c r="A260" s="7"/>
      <c r="B260" s="33"/>
      <c r="E260" s="8"/>
      <c r="F260" s="8"/>
      <c r="G260" s="10"/>
      <c r="H260" s="10"/>
    </row>
    <row r="261" spans="1:9" s="11" customFormat="1" ht="28" x14ac:dyDescent="0.15">
      <c r="A261" s="7">
        <v>4.05</v>
      </c>
      <c r="B261" s="31" t="s">
        <v>743</v>
      </c>
      <c r="C261" s="11" t="s">
        <v>524</v>
      </c>
      <c r="D261" s="11" t="s">
        <v>372</v>
      </c>
      <c r="E261" s="8" t="s">
        <v>8</v>
      </c>
      <c r="F261" s="34"/>
      <c r="G261" s="10"/>
      <c r="H261" s="10" t="s">
        <v>26</v>
      </c>
    </row>
    <row r="262" spans="1:9" s="11" customFormat="1" x14ac:dyDescent="0.15">
      <c r="A262" s="7"/>
      <c r="B262" s="31"/>
      <c r="E262" s="8"/>
      <c r="F262" s="34"/>
      <c r="G262" s="10"/>
      <c r="H262" s="10"/>
    </row>
    <row r="263" spans="1:9" s="15" customFormat="1" ht="28" x14ac:dyDescent="0.15">
      <c r="A263" s="7">
        <v>4.0599999999999996</v>
      </c>
      <c r="B263" s="31" t="s">
        <v>743</v>
      </c>
      <c r="C263" s="11" t="s">
        <v>525</v>
      </c>
      <c r="D263" s="11" t="s">
        <v>526</v>
      </c>
      <c r="E263" s="8" t="s">
        <v>8</v>
      </c>
      <c r="F263" s="8"/>
      <c r="G263" s="10"/>
      <c r="H263" s="10">
        <v>2000</v>
      </c>
      <c r="I263" s="11"/>
    </row>
    <row r="264" spans="1:9" s="15" customFormat="1" x14ac:dyDescent="0.15">
      <c r="A264" s="7"/>
      <c r="B264" s="31"/>
      <c r="C264" s="11"/>
      <c r="D264" s="11"/>
      <c r="E264" s="8"/>
      <c r="F264" s="8"/>
      <c r="G264" s="10"/>
      <c r="H264" s="10"/>
      <c r="I264" s="11"/>
    </row>
    <row r="265" spans="1:9" s="15" customFormat="1" ht="14" x14ac:dyDescent="0.15">
      <c r="A265" s="7">
        <v>4.07</v>
      </c>
      <c r="B265" s="31" t="s">
        <v>743</v>
      </c>
      <c r="C265" s="11" t="s">
        <v>373</v>
      </c>
      <c r="D265" s="11" t="s">
        <v>374</v>
      </c>
      <c r="E265" s="8" t="s">
        <v>8</v>
      </c>
      <c r="F265" s="8"/>
      <c r="G265" s="10"/>
      <c r="H265" s="10">
        <v>1000</v>
      </c>
      <c r="I265" s="14"/>
    </row>
    <row r="266" spans="1:9" s="14" customFormat="1" x14ac:dyDescent="0.15">
      <c r="A266" s="7"/>
      <c r="B266" s="31"/>
      <c r="D266" s="11"/>
      <c r="E266" s="8"/>
      <c r="F266" s="8"/>
      <c r="G266" s="10"/>
      <c r="H266" s="10"/>
    </row>
    <row r="267" spans="1:9" s="14" customFormat="1" ht="14" x14ac:dyDescent="0.15">
      <c r="A267" s="7"/>
      <c r="B267" s="33"/>
      <c r="C267" s="14" t="s">
        <v>450</v>
      </c>
      <c r="D267" s="11"/>
      <c r="E267" s="8"/>
      <c r="F267" s="8"/>
      <c r="G267" s="10"/>
      <c r="H267" s="10"/>
      <c r="I267" s="11"/>
    </row>
    <row r="268" spans="1:9" s="15" customFormat="1" x14ac:dyDescent="0.15">
      <c r="A268" s="7"/>
      <c r="B268" s="31"/>
      <c r="C268" s="11"/>
      <c r="D268" s="11"/>
      <c r="E268" s="8"/>
      <c r="F268" s="8"/>
      <c r="G268" s="10"/>
      <c r="H268" s="10"/>
      <c r="I268" s="11"/>
    </row>
    <row r="269" spans="1:9" s="15" customFormat="1" ht="28" x14ac:dyDescent="0.15">
      <c r="A269" s="7">
        <v>4.08</v>
      </c>
      <c r="B269" s="31" t="s">
        <v>743</v>
      </c>
      <c r="C269" s="11" t="s">
        <v>527</v>
      </c>
      <c r="D269" s="11" t="s">
        <v>528</v>
      </c>
      <c r="E269" s="8" t="s">
        <v>8</v>
      </c>
      <c r="F269" s="8"/>
      <c r="G269" s="10"/>
      <c r="H269" s="10">
        <v>1000</v>
      </c>
      <c r="I269" s="14"/>
    </row>
    <row r="270" spans="1:9" s="15" customFormat="1" x14ac:dyDescent="0.15">
      <c r="A270" s="7"/>
      <c r="B270" s="31"/>
      <c r="C270" s="11"/>
      <c r="D270" s="11"/>
      <c r="E270" s="8"/>
      <c r="F270" s="8"/>
      <c r="G270" s="10"/>
      <c r="H270" s="10"/>
      <c r="I270" s="14"/>
    </row>
    <row r="271" spans="1:9" s="15" customFormat="1" ht="14" x14ac:dyDescent="0.15">
      <c r="A271" s="7">
        <v>4.09</v>
      </c>
      <c r="B271" s="31" t="s">
        <v>743</v>
      </c>
      <c r="C271" s="11" t="s">
        <v>529</v>
      </c>
      <c r="D271" s="11" t="s">
        <v>387</v>
      </c>
      <c r="E271" s="8" t="s">
        <v>8</v>
      </c>
      <c r="F271" s="8"/>
      <c r="G271" s="10"/>
      <c r="H271" s="10">
        <v>200</v>
      </c>
    </row>
    <row r="272" spans="1:9" s="15" customFormat="1" x14ac:dyDescent="0.15">
      <c r="A272" s="7"/>
      <c r="B272" s="31"/>
      <c r="C272" s="11"/>
      <c r="D272" s="11"/>
      <c r="E272" s="8"/>
      <c r="F272" s="8"/>
      <c r="G272" s="10"/>
      <c r="H272" s="10"/>
    </row>
    <row r="273" spans="1:8" s="15" customFormat="1" ht="42" x14ac:dyDescent="0.15">
      <c r="A273" s="7">
        <v>4.0999999999999996</v>
      </c>
      <c r="B273" s="31" t="s">
        <v>743</v>
      </c>
      <c r="C273" s="11" t="s">
        <v>375</v>
      </c>
      <c r="D273" s="11" t="s">
        <v>510</v>
      </c>
      <c r="E273" s="8" t="s">
        <v>339</v>
      </c>
      <c r="F273" s="8">
        <v>56</v>
      </c>
      <c r="G273" s="10">
        <v>80</v>
      </c>
      <c r="H273" s="10">
        <f>SUM(F273*G273)</f>
        <v>4480</v>
      </c>
    </row>
    <row r="274" spans="1:8" s="15" customFormat="1" x14ac:dyDescent="0.15">
      <c r="A274" s="7"/>
      <c r="B274" s="31"/>
      <c r="C274" s="11"/>
      <c r="D274" s="11"/>
      <c r="E274" s="8"/>
      <c r="F274" s="8"/>
      <c r="G274" s="10"/>
      <c r="H274" s="10"/>
    </row>
    <row r="275" spans="1:8" s="15" customFormat="1" ht="28" x14ac:dyDescent="0.15">
      <c r="A275" s="7">
        <v>4.1100000000000003</v>
      </c>
      <c r="B275" s="31" t="s">
        <v>744</v>
      </c>
      <c r="C275" s="11" t="s">
        <v>376</v>
      </c>
      <c r="D275" s="11" t="s">
        <v>377</v>
      </c>
      <c r="E275" s="8" t="s">
        <v>8</v>
      </c>
      <c r="F275" s="8"/>
      <c r="G275" s="10"/>
      <c r="H275" s="10">
        <v>300</v>
      </c>
    </row>
    <row r="276" spans="1:8" s="15" customFormat="1" x14ac:dyDescent="0.15">
      <c r="A276" s="7"/>
      <c r="B276" s="31"/>
      <c r="C276" s="14"/>
      <c r="D276" s="11"/>
      <c r="E276" s="8"/>
      <c r="F276" s="8"/>
      <c r="G276" s="10"/>
      <c r="H276" s="10"/>
    </row>
    <row r="277" spans="1:8" s="15" customFormat="1" ht="28" x14ac:dyDescent="0.15">
      <c r="A277" s="7">
        <v>4.12</v>
      </c>
      <c r="B277" s="31" t="s">
        <v>743</v>
      </c>
      <c r="C277" s="11" t="s">
        <v>431</v>
      </c>
      <c r="D277" s="11" t="s">
        <v>530</v>
      </c>
      <c r="E277" s="8" t="s">
        <v>8</v>
      </c>
      <c r="F277" s="8"/>
      <c r="G277" s="10"/>
      <c r="H277" s="10" t="s">
        <v>26</v>
      </c>
    </row>
    <row r="278" spans="1:8" s="15" customFormat="1" x14ac:dyDescent="0.15">
      <c r="A278" s="7"/>
      <c r="B278" s="33"/>
      <c r="C278" s="11"/>
      <c r="D278" s="11"/>
      <c r="E278" s="8"/>
      <c r="F278" s="8"/>
      <c r="G278" s="10"/>
      <c r="H278" s="10"/>
    </row>
    <row r="279" spans="1:8" s="15" customFormat="1" x14ac:dyDescent="0.15">
      <c r="A279" s="3"/>
      <c r="B279" s="33"/>
      <c r="E279" s="63"/>
      <c r="F279" s="63"/>
      <c r="G279" s="20"/>
      <c r="H279" s="20"/>
    </row>
    <row r="280" spans="1:8" s="15" customFormat="1" ht="14" x14ac:dyDescent="0.15">
      <c r="A280" s="7"/>
      <c r="B280" s="33"/>
      <c r="C280" s="14" t="s">
        <v>9</v>
      </c>
      <c r="D280" s="11"/>
      <c r="E280" s="8"/>
      <c r="F280" s="8"/>
      <c r="G280" s="10"/>
      <c r="H280" s="19">
        <f>SUM(H4:H279)</f>
        <v>102711.5</v>
      </c>
    </row>
    <row r="281" spans="1:8" s="15" customFormat="1" x14ac:dyDescent="0.15">
      <c r="A281" s="7"/>
      <c r="B281" s="33"/>
      <c r="C281" s="11"/>
      <c r="D281" s="11"/>
      <c r="E281" s="8"/>
      <c r="F281" s="8"/>
      <c r="G281" s="10"/>
      <c r="H281" s="10"/>
    </row>
    <row r="282" spans="1:8" s="15" customFormat="1" x14ac:dyDescent="0.15">
      <c r="A282" s="7"/>
      <c r="B282" s="33"/>
      <c r="C282" s="11"/>
      <c r="D282" s="11"/>
      <c r="E282" s="8"/>
      <c r="F282" s="34"/>
      <c r="G282" s="10"/>
      <c r="H282" s="36"/>
    </row>
    <row r="283" spans="1:8" s="15" customFormat="1" x14ac:dyDescent="0.15">
      <c r="A283" s="7"/>
      <c r="B283" s="31"/>
      <c r="C283" s="11"/>
      <c r="D283" s="11"/>
      <c r="E283" s="8"/>
      <c r="F283" s="34"/>
      <c r="G283" s="10"/>
      <c r="H283" s="36"/>
    </row>
    <row r="284" spans="1:8" s="15" customFormat="1" x14ac:dyDescent="0.15">
      <c r="A284" s="7"/>
      <c r="B284" s="33"/>
      <c r="C284" s="11"/>
      <c r="D284" s="11"/>
      <c r="E284" s="8"/>
      <c r="F284" s="8"/>
      <c r="G284" s="10"/>
      <c r="H284" s="10"/>
    </row>
    <row r="285" spans="1:8" s="15" customFormat="1" x14ac:dyDescent="0.15">
      <c r="A285" s="7"/>
      <c r="B285" s="31"/>
      <c r="C285" s="14"/>
      <c r="D285" s="11"/>
      <c r="E285" s="8"/>
      <c r="F285" s="8"/>
      <c r="G285" s="10"/>
      <c r="H285" s="10"/>
    </row>
    <row r="286" spans="1:8" s="15" customFormat="1" x14ac:dyDescent="0.15">
      <c r="A286" s="7"/>
      <c r="B286" s="33"/>
      <c r="C286" s="11"/>
      <c r="D286" s="11"/>
      <c r="E286" s="8"/>
      <c r="F286" s="8"/>
      <c r="G286" s="10"/>
      <c r="H286" s="10"/>
    </row>
    <row r="287" spans="1:8" s="15" customFormat="1" x14ac:dyDescent="0.15">
      <c r="A287" s="7"/>
      <c r="B287" s="31"/>
      <c r="C287" s="11"/>
      <c r="D287" s="11"/>
      <c r="E287" s="8"/>
      <c r="F287" s="8"/>
      <c r="G287" s="10"/>
      <c r="H287" s="10"/>
    </row>
    <row r="288" spans="1:8" s="15" customFormat="1" x14ac:dyDescent="0.15">
      <c r="A288" s="7"/>
      <c r="B288" s="33"/>
      <c r="C288" s="11"/>
      <c r="D288" s="11"/>
      <c r="E288" s="8"/>
      <c r="F288" s="8"/>
      <c r="G288" s="10"/>
      <c r="H288" s="10"/>
    </row>
    <row r="289" spans="1:9" s="15" customFormat="1" x14ac:dyDescent="0.15">
      <c r="A289" s="3"/>
      <c r="B289" s="31"/>
      <c r="C289" s="11"/>
      <c r="D289" s="11"/>
      <c r="E289" s="8"/>
      <c r="F289" s="8"/>
      <c r="G289" s="10"/>
      <c r="H289" s="10"/>
    </row>
    <row r="290" spans="1:9" s="15" customFormat="1" x14ac:dyDescent="0.15">
      <c r="A290" s="7"/>
      <c r="B290" s="33"/>
      <c r="C290" s="11"/>
      <c r="D290" s="11"/>
      <c r="E290" s="8"/>
      <c r="F290" s="8"/>
      <c r="G290" s="10"/>
      <c r="H290" s="10"/>
    </row>
    <row r="291" spans="1:9" s="15" customFormat="1" x14ac:dyDescent="0.15">
      <c r="A291" s="7"/>
      <c r="B291" s="31"/>
      <c r="C291" s="11"/>
      <c r="D291" s="11"/>
      <c r="E291" s="8"/>
      <c r="F291" s="8"/>
      <c r="G291" s="10"/>
      <c r="H291" s="10"/>
    </row>
    <row r="292" spans="1:9" s="15" customFormat="1" x14ac:dyDescent="0.15">
      <c r="A292" s="7"/>
      <c r="B292" s="33"/>
      <c r="C292" s="11"/>
      <c r="D292" s="11"/>
      <c r="E292" s="8"/>
      <c r="F292" s="8"/>
      <c r="G292" s="10"/>
      <c r="H292" s="10"/>
    </row>
    <row r="293" spans="1:9" s="15" customFormat="1" x14ac:dyDescent="0.15">
      <c r="A293" s="7"/>
      <c r="B293" s="31"/>
      <c r="C293" s="11"/>
      <c r="D293" s="11"/>
      <c r="E293" s="8"/>
      <c r="F293" s="8"/>
      <c r="G293" s="10"/>
      <c r="H293" s="10"/>
    </row>
    <row r="294" spans="1:9" s="15" customFormat="1" x14ac:dyDescent="0.15">
      <c r="A294" s="7"/>
      <c r="B294" s="33"/>
      <c r="C294" s="11"/>
      <c r="D294" s="11"/>
      <c r="E294" s="8"/>
      <c r="F294" s="8"/>
      <c r="G294" s="10"/>
      <c r="H294" s="10"/>
      <c r="I294" s="11"/>
    </row>
    <row r="295" spans="1:9" s="15" customFormat="1" x14ac:dyDescent="0.15">
      <c r="A295" s="7"/>
      <c r="B295" s="31"/>
      <c r="C295" s="14"/>
      <c r="D295" s="11"/>
      <c r="E295" s="8"/>
      <c r="F295" s="8"/>
      <c r="G295" s="10"/>
      <c r="H295" s="10"/>
      <c r="I295" s="11"/>
    </row>
    <row r="296" spans="1:9" s="15" customFormat="1" x14ac:dyDescent="0.15">
      <c r="A296" s="7"/>
      <c r="B296" s="33"/>
      <c r="C296" s="11"/>
      <c r="D296" s="11"/>
      <c r="E296" s="8"/>
      <c r="F296" s="8"/>
      <c r="G296" s="10"/>
      <c r="H296" s="10"/>
      <c r="I296" s="11"/>
    </row>
    <row r="297" spans="1:9" s="15" customFormat="1" x14ac:dyDescent="0.15">
      <c r="A297" s="7"/>
      <c r="B297" s="31"/>
      <c r="C297" s="11"/>
      <c r="D297" s="11"/>
      <c r="E297" s="8"/>
      <c r="F297" s="8"/>
      <c r="G297" s="10"/>
      <c r="H297" s="10"/>
      <c r="I297" s="11"/>
    </row>
    <row r="298" spans="1:9" s="15" customFormat="1" x14ac:dyDescent="0.15">
      <c r="A298" s="7"/>
      <c r="B298" s="33"/>
      <c r="C298" s="11"/>
      <c r="D298" s="11"/>
      <c r="E298" s="8"/>
      <c r="F298" s="8"/>
      <c r="G298" s="10"/>
      <c r="H298" s="10"/>
      <c r="I298" s="11"/>
    </row>
    <row r="299" spans="1:9" s="15" customFormat="1" x14ac:dyDescent="0.15">
      <c r="A299" s="7"/>
      <c r="B299" s="31"/>
      <c r="C299" s="11"/>
      <c r="D299" s="11"/>
      <c r="E299" s="8"/>
      <c r="F299" s="8"/>
      <c r="G299" s="10"/>
      <c r="H299" s="10"/>
      <c r="I299" s="11"/>
    </row>
    <row r="300" spans="1:9" s="15" customFormat="1" x14ac:dyDescent="0.15">
      <c r="A300" s="7"/>
      <c r="B300" s="33"/>
      <c r="C300" s="11"/>
      <c r="D300" s="11"/>
      <c r="E300" s="8"/>
      <c r="F300" s="8"/>
      <c r="G300" s="10"/>
      <c r="H300" s="10"/>
      <c r="I300" s="11"/>
    </row>
    <row r="301" spans="1:9" s="15" customFormat="1" x14ac:dyDescent="0.15">
      <c r="A301" s="7"/>
      <c r="B301" s="31"/>
      <c r="C301" s="11"/>
      <c r="D301" s="11"/>
      <c r="E301" s="8"/>
      <c r="F301" s="8"/>
      <c r="G301" s="10"/>
      <c r="H301" s="10"/>
      <c r="I301" s="11"/>
    </row>
    <row r="302" spans="1:9" s="15" customFormat="1" x14ac:dyDescent="0.15">
      <c r="A302" s="7"/>
      <c r="B302" s="33"/>
      <c r="C302" s="11"/>
      <c r="D302" s="11"/>
      <c r="E302" s="8"/>
      <c r="F302" s="8"/>
      <c r="G302" s="10"/>
      <c r="H302" s="10"/>
      <c r="I302" s="11"/>
    </row>
    <row r="303" spans="1:9" s="15" customFormat="1" x14ac:dyDescent="0.15">
      <c r="A303" s="7"/>
      <c r="B303" s="33"/>
      <c r="C303" s="11"/>
      <c r="D303" s="11"/>
      <c r="E303" s="8"/>
      <c r="F303" s="8"/>
      <c r="G303" s="10"/>
      <c r="H303" s="10"/>
      <c r="I303" s="11"/>
    </row>
    <row r="304" spans="1:9" s="15" customFormat="1" x14ac:dyDescent="0.15">
      <c r="A304" s="7"/>
      <c r="B304" s="33"/>
      <c r="C304" s="11"/>
      <c r="D304" s="11"/>
      <c r="E304" s="8"/>
      <c r="F304" s="8"/>
      <c r="G304" s="10"/>
      <c r="H304" s="10"/>
      <c r="I304" s="11"/>
    </row>
    <row r="305" spans="1:13" s="14" customFormat="1" x14ac:dyDescent="0.15">
      <c r="A305" s="7"/>
      <c r="B305" s="33"/>
      <c r="C305" s="11"/>
      <c r="D305" s="11"/>
      <c r="E305" s="8"/>
      <c r="F305" s="8"/>
      <c r="G305" s="10"/>
      <c r="H305" s="10"/>
      <c r="I305" s="11"/>
    </row>
    <row r="306" spans="1:13" s="14" customFormat="1" x14ac:dyDescent="0.15">
      <c r="A306" s="7"/>
      <c r="B306" s="33"/>
      <c r="C306" s="11"/>
      <c r="D306" s="11"/>
      <c r="E306" s="8"/>
      <c r="F306" s="8"/>
      <c r="G306" s="10"/>
      <c r="H306" s="36"/>
      <c r="I306" s="11"/>
    </row>
    <row r="307" spans="1:13" s="15" customFormat="1" x14ac:dyDescent="0.15">
      <c r="A307" s="7"/>
      <c r="B307" s="33"/>
      <c r="C307" s="11"/>
      <c r="D307" s="11"/>
      <c r="E307" s="8"/>
      <c r="F307" s="8"/>
      <c r="G307" s="10"/>
      <c r="H307" s="36"/>
      <c r="I307" s="11"/>
      <c r="J307" s="11"/>
      <c r="K307" s="11"/>
      <c r="L307" s="11"/>
      <c r="M307" s="11"/>
    </row>
    <row r="308" spans="1:13" s="15" customFormat="1" x14ac:dyDescent="0.15">
      <c r="A308" s="7"/>
      <c r="B308" s="35"/>
      <c r="C308" s="11"/>
      <c r="D308" s="11"/>
      <c r="E308" s="8"/>
      <c r="F308" s="9"/>
      <c r="G308" s="10"/>
      <c r="H308" s="10"/>
      <c r="I308" s="11"/>
      <c r="J308" s="11"/>
      <c r="K308" s="11"/>
      <c r="L308" s="11"/>
      <c r="M308" s="11"/>
    </row>
    <row r="309" spans="1:13" s="15" customFormat="1" x14ac:dyDescent="0.15">
      <c r="A309" s="7"/>
      <c r="B309" s="35"/>
      <c r="C309" s="11"/>
      <c r="D309" s="11"/>
      <c r="E309" s="8"/>
      <c r="F309" s="9"/>
      <c r="G309" s="10"/>
      <c r="H309" s="10"/>
      <c r="I309" s="11"/>
      <c r="J309" s="11"/>
      <c r="K309" s="11"/>
      <c r="L309" s="11"/>
      <c r="M309" s="11"/>
    </row>
    <row r="310" spans="1:13" s="15" customFormat="1" x14ac:dyDescent="0.15">
      <c r="A310" s="7"/>
      <c r="B310" s="31"/>
      <c r="C310" s="11"/>
      <c r="D310" s="11"/>
      <c r="E310" s="8"/>
      <c r="F310" s="9"/>
      <c r="G310" s="10"/>
      <c r="H310" s="36"/>
      <c r="I310" s="11"/>
      <c r="J310" s="11"/>
      <c r="K310" s="11"/>
      <c r="L310" s="11"/>
      <c r="M310" s="11"/>
    </row>
    <row r="311" spans="1:13" s="15" customFormat="1" x14ac:dyDescent="0.15">
      <c r="A311" s="7"/>
      <c r="B311" s="31"/>
      <c r="C311" s="11"/>
      <c r="D311" s="11"/>
      <c r="E311" s="8"/>
      <c r="F311" s="9"/>
      <c r="G311" s="10"/>
      <c r="H311" s="36"/>
      <c r="I311" s="11"/>
      <c r="J311" s="11"/>
      <c r="K311" s="11"/>
      <c r="L311" s="11"/>
      <c r="M311" s="11"/>
    </row>
    <row r="312" spans="1:13" s="15" customFormat="1" x14ac:dyDescent="0.15">
      <c r="A312" s="7"/>
      <c r="B312" s="33"/>
      <c r="C312" s="14"/>
      <c r="D312" s="11"/>
      <c r="E312" s="8"/>
      <c r="F312" s="9"/>
      <c r="G312" s="10"/>
      <c r="H312" s="10"/>
      <c r="I312" s="11"/>
      <c r="J312" s="11"/>
      <c r="K312" s="11"/>
      <c r="L312" s="11"/>
      <c r="M312" s="11"/>
    </row>
    <row r="313" spans="1:13" s="15" customFormat="1" x14ac:dyDescent="0.15">
      <c r="A313" s="7"/>
      <c r="B313" s="31"/>
      <c r="C313" s="14"/>
      <c r="D313" s="11"/>
      <c r="E313" s="8"/>
      <c r="F313" s="9"/>
      <c r="G313" s="10"/>
      <c r="H313" s="10"/>
      <c r="I313" s="11"/>
      <c r="J313" s="11"/>
      <c r="K313" s="11"/>
      <c r="L313" s="11"/>
      <c r="M313" s="11"/>
    </row>
    <row r="314" spans="1:13" s="15" customFormat="1" x14ac:dyDescent="0.15">
      <c r="A314" s="7"/>
      <c r="B314" s="33"/>
      <c r="C314" s="11"/>
      <c r="D314" s="11"/>
      <c r="E314" s="8"/>
      <c r="F314" s="8"/>
      <c r="G314" s="10"/>
      <c r="H314" s="10"/>
      <c r="I314" s="11"/>
      <c r="J314" s="11"/>
      <c r="K314" s="11"/>
      <c r="L314" s="11"/>
      <c r="M314" s="11"/>
    </row>
    <row r="315" spans="1:13" s="15" customFormat="1" x14ac:dyDescent="0.15">
      <c r="A315" s="7"/>
      <c r="B315" s="31"/>
      <c r="C315" s="11"/>
      <c r="D315" s="11"/>
      <c r="E315" s="8"/>
      <c r="F315" s="8"/>
      <c r="G315" s="10"/>
      <c r="H315" s="10"/>
      <c r="I315" s="37"/>
      <c r="J315" s="37"/>
      <c r="K315" s="37"/>
      <c r="L315" s="37"/>
      <c r="M315" s="37"/>
    </row>
    <row r="316" spans="1:13" s="15" customFormat="1" x14ac:dyDescent="0.15">
      <c r="A316" s="7"/>
      <c r="B316" s="33"/>
      <c r="C316" s="11"/>
      <c r="D316" s="11"/>
      <c r="E316" s="8"/>
      <c r="F316" s="8"/>
      <c r="G316" s="10"/>
      <c r="H316" s="10"/>
      <c r="I316" s="11"/>
      <c r="J316" s="11"/>
      <c r="K316" s="11"/>
      <c r="L316" s="11"/>
      <c r="M316" s="11"/>
    </row>
    <row r="317" spans="1:13" s="15" customFormat="1" x14ac:dyDescent="0.15">
      <c r="A317" s="7"/>
      <c r="B317" s="33"/>
      <c r="C317" s="11"/>
      <c r="D317" s="11"/>
      <c r="E317" s="8"/>
      <c r="F317" s="8"/>
      <c r="G317" s="10"/>
      <c r="H317" s="10"/>
      <c r="I317" s="11"/>
      <c r="J317" s="11"/>
      <c r="K317" s="11"/>
      <c r="L317" s="11"/>
      <c r="M317" s="11"/>
    </row>
    <row r="318" spans="1:13" s="15" customFormat="1" x14ac:dyDescent="0.15">
      <c r="A318" s="7"/>
      <c r="B318" s="33"/>
      <c r="C318" s="11"/>
      <c r="D318" s="11"/>
      <c r="E318" s="8"/>
      <c r="F318" s="8"/>
      <c r="G318" s="10"/>
      <c r="H318" s="10"/>
      <c r="I318" s="11"/>
      <c r="J318" s="11"/>
      <c r="K318" s="11"/>
      <c r="L318" s="11"/>
      <c r="M318" s="11"/>
    </row>
    <row r="319" spans="1:13" s="15" customFormat="1" x14ac:dyDescent="0.15">
      <c r="A319" s="7"/>
      <c r="B319" s="33"/>
      <c r="C319" s="11"/>
      <c r="D319" s="11"/>
      <c r="E319" s="8"/>
      <c r="F319" s="8"/>
      <c r="G319" s="10"/>
      <c r="H319" s="10"/>
      <c r="I319" s="11"/>
      <c r="J319" s="11"/>
      <c r="K319" s="11"/>
      <c r="L319" s="11"/>
      <c r="M319" s="11"/>
    </row>
    <row r="320" spans="1:13" s="15" customFormat="1" x14ac:dyDescent="0.15">
      <c r="A320" s="7"/>
      <c r="B320" s="33"/>
      <c r="C320" s="11"/>
      <c r="D320" s="11"/>
      <c r="E320" s="8"/>
      <c r="F320" s="34"/>
      <c r="G320" s="10"/>
      <c r="H320" s="36"/>
      <c r="I320" s="11"/>
      <c r="J320" s="11"/>
      <c r="K320" s="11"/>
      <c r="L320" s="11"/>
      <c r="M320" s="11"/>
    </row>
    <row r="321" spans="1:13" s="15" customFormat="1" x14ac:dyDescent="0.15">
      <c r="A321" s="3"/>
      <c r="B321" s="31"/>
      <c r="C321" s="11"/>
      <c r="D321" s="11"/>
      <c r="E321" s="8"/>
      <c r="F321" s="34"/>
      <c r="G321" s="10"/>
      <c r="H321" s="10"/>
      <c r="I321" s="11"/>
      <c r="J321" s="11"/>
      <c r="K321" s="11"/>
      <c r="L321" s="11"/>
      <c r="M321" s="11"/>
    </row>
    <row r="322" spans="1:13" s="15" customFormat="1" x14ac:dyDescent="0.15">
      <c r="A322" s="7"/>
      <c r="B322" s="33"/>
      <c r="C322" s="11"/>
      <c r="D322" s="11"/>
      <c r="E322" s="8"/>
      <c r="F322" s="8"/>
      <c r="G322" s="10"/>
      <c r="H322" s="36"/>
      <c r="I322" s="11"/>
      <c r="J322" s="11"/>
      <c r="K322" s="11"/>
      <c r="L322" s="11"/>
      <c r="M322" s="11"/>
    </row>
    <row r="323" spans="1:13" s="15" customFormat="1" x14ac:dyDescent="0.15">
      <c r="A323" s="7"/>
      <c r="B323" s="31"/>
      <c r="C323" s="14"/>
      <c r="D323" s="11"/>
      <c r="E323" s="8"/>
      <c r="F323" s="8"/>
      <c r="G323" s="10"/>
      <c r="H323" s="10"/>
    </row>
    <row r="324" spans="1:13" s="15" customFormat="1" x14ac:dyDescent="0.15">
      <c r="A324" s="7"/>
      <c r="B324" s="33"/>
      <c r="C324" s="11"/>
      <c r="D324" s="11"/>
      <c r="E324" s="8"/>
      <c r="F324" s="8"/>
      <c r="G324" s="10"/>
      <c r="H324" s="10"/>
    </row>
    <row r="325" spans="1:13" s="15" customFormat="1" x14ac:dyDescent="0.15">
      <c r="A325" s="7"/>
      <c r="B325" s="31"/>
      <c r="C325" s="11"/>
      <c r="D325" s="11"/>
      <c r="E325" s="8"/>
      <c r="F325" s="8"/>
      <c r="G325" s="10"/>
      <c r="H325" s="10"/>
    </row>
    <row r="326" spans="1:13" s="15" customFormat="1" x14ac:dyDescent="0.15">
      <c r="A326" s="7"/>
      <c r="B326" s="33"/>
      <c r="C326" s="11"/>
      <c r="D326" s="11"/>
      <c r="E326" s="8"/>
      <c r="F326" s="8"/>
      <c r="G326" s="10"/>
      <c r="H326" s="10"/>
    </row>
    <row r="327" spans="1:13" s="15" customFormat="1" x14ac:dyDescent="0.15">
      <c r="A327" s="7"/>
      <c r="B327" s="31"/>
      <c r="C327" s="11"/>
      <c r="D327" s="11"/>
      <c r="E327" s="8"/>
      <c r="F327" s="8"/>
      <c r="G327" s="10"/>
      <c r="H327" s="10"/>
    </row>
    <row r="328" spans="1:13" s="15" customFormat="1" x14ac:dyDescent="0.15">
      <c r="A328" s="7"/>
      <c r="B328" s="31"/>
      <c r="C328" s="11"/>
      <c r="D328" s="11"/>
      <c r="E328" s="8"/>
      <c r="F328" s="8"/>
      <c r="G328" s="10"/>
      <c r="H328" s="10"/>
    </row>
    <row r="329" spans="1:13" s="15" customFormat="1" x14ac:dyDescent="0.15">
      <c r="A329" s="7"/>
      <c r="B329" s="31"/>
      <c r="C329" s="11"/>
      <c r="D329" s="11"/>
      <c r="E329" s="8"/>
      <c r="F329" s="8"/>
      <c r="G329" s="10"/>
      <c r="H329" s="10"/>
    </row>
    <row r="330" spans="1:13" s="15" customFormat="1" x14ac:dyDescent="0.15">
      <c r="A330" s="7"/>
      <c r="B330" s="33"/>
      <c r="C330" s="11"/>
      <c r="D330" s="11"/>
      <c r="E330" s="8"/>
      <c r="F330" s="8"/>
      <c r="G330" s="10"/>
      <c r="H330" s="10"/>
    </row>
    <row r="331" spans="1:13" s="15" customFormat="1" x14ac:dyDescent="0.15">
      <c r="A331" s="7"/>
      <c r="B331" s="31"/>
      <c r="C331" s="14"/>
      <c r="D331" s="11"/>
      <c r="E331" s="8"/>
      <c r="F331" s="8"/>
      <c r="G331" s="10"/>
      <c r="H331" s="10"/>
    </row>
    <row r="332" spans="1:13" s="15" customFormat="1" x14ac:dyDescent="0.15">
      <c r="A332" s="7"/>
      <c r="B332" s="33"/>
      <c r="C332" s="11"/>
      <c r="D332" s="11"/>
      <c r="E332" s="8"/>
      <c r="F332" s="8"/>
      <c r="G332" s="10"/>
      <c r="H332" s="10"/>
    </row>
    <row r="333" spans="1:13" s="15" customFormat="1" x14ac:dyDescent="0.15">
      <c r="A333" s="7"/>
      <c r="B333" s="31"/>
      <c r="C333" s="11"/>
      <c r="D333" s="11"/>
      <c r="E333" s="8"/>
      <c r="F333" s="8"/>
      <c r="G333" s="10"/>
      <c r="H333" s="10"/>
    </row>
    <row r="334" spans="1:13" s="15" customFormat="1" x14ac:dyDescent="0.15">
      <c r="A334" s="7"/>
      <c r="B334" s="33"/>
      <c r="C334" s="11"/>
      <c r="D334" s="11"/>
      <c r="E334" s="8"/>
      <c r="F334" s="8"/>
      <c r="G334" s="10"/>
      <c r="H334" s="10"/>
    </row>
    <row r="335" spans="1:13" s="15" customFormat="1" x14ac:dyDescent="0.15">
      <c r="A335" s="7"/>
      <c r="B335" s="31"/>
      <c r="C335" s="11"/>
      <c r="D335" s="11"/>
      <c r="E335" s="8"/>
      <c r="F335" s="8"/>
      <c r="G335" s="10"/>
      <c r="H335" s="10"/>
    </row>
    <row r="336" spans="1:13" s="15" customFormat="1" x14ac:dyDescent="0.15">
      <c r="A336" s="7"/>
      <c r="B336" s="33"/>
      <c r="C336" s="11"/>
      <c r="D336" s="11"/>
      <c r="E336" s="8"/>
      <c r="F336" s="8"/>
      <c r="G336" s="10"/>
      <c r="H336" s="10"/>
    </row>
    <row r="337" spans="1:8" s="15" customFormat="1" x14ac:dyDescent="0.15">
      <c r="A337" s="7"/>
      <c r="B337" s="31"/>
      <c r="C337" s="11"/>
      <c r="D337" s="11"/>
      <c r="E337" s="8"/>
      <c r="F337" s="8"/>
      <c r="G337" s="10"/>
      <c r="H337" s="10"/>
    </row>
    <row r="338" spans="1:8" s="15" customFormat="1" x14ac:dyDescent="0.15">
      <c r="A338" s="7"/>
      <c r="B338" s="33"/>
      <c r="C338" s="11"/>
      <c r="D338" s="11"/>
      <c r="E338" s="8"/>
      <c r="F338" s="8"/>
      <c r="G338" s="10"/>
      <c r="H338" s="10"/>
    </row>
    <row r="339" spans="1:8" s="15" customFormat="1" x14ac:dyDescent="0.15">
      <c r="A339" s="7"/>
      <c r="B339" s="31"/>
      <c r="C339" s="11"/>
      <c r="D339" s="11"/>
      <c r="E339" s="8"/>
      <c r="F339" s="8"/>
      <c r="G339" s="10"/>
      <c r="H339" s="10"/>
    </row>
    <row r="340" spans="1:8" s="15" customFormat="1" x14ac:dyDescent="0.15">
      <c r="A340" s="7"/>
      <c r="B340" s="33"/>
      <c r="C340" s="11"/>
      <c r="D340" s="11"/>
      <c r="E340" s="8"/>
      <c r="F340" s="8"/>
      <c r="G340" s="10"/>
      <c r="H340" s="10"/>
    </row>
    <row r="341" spans="1:8" s="15" customFormat="1" x14ac:dyDescent="0.15">
      <c r="A341" s="7"/>
      <c r="B341" s="31"/>
      <c r="C341" s="11"/>
      <c r="D341" s="11"/>
      <c r="E341" s="8"/>
      <c r="F341" s="8"/>
      <c r="G341" s="10"/>
      <c r="H341" s="10"/>
    </row>
    <row r="342" spans="1:8" s="15" customFormat="1" x14ac:dyDescent="0.15">
      <c r="A342" s="7"/>
      <c r="B342" s="31"/>
      <c r="C342" s="11"/>
      <c r="D342" s="11"/>
      <c r="E342" s="8"/>
      <c r="F342" s="9"/>
      <c r="G342" s="10"/>
      <c r="H342" s="10"/>
    </row>
    <row r="343" spans="1:8" s="15" customFormat="1" x14ac:dyDescent="0.15">
      <c r="A343" s="7"/>
      <c r="B343" s="31"/>
      <c r="C343" s="11"/>
      <c r="D343" s="11"/>
      <c r="E343" s="8"/>
      <c r="F343" s="9"/>
      <c r="G343" s="10"/>
      <c r="H343" s="10"/>
    </row>
    <row r="344" spans="1:8" s="15" customFormat="1" x14ac:dyDescent="0.15">
      <c r="A344" s="7"/>
      <c r="B344" s="33"/>
      <c r="C344" s="14"/>
      <c r="D344" s="11"/>
      <c r="E344" s="8"/>
      <c r="F344" s="9"/>
      <c r="G344" s="10"/>
      <c r="H344" s="10"/>
    </row>
    <row r="345" spans="1:8" s="15" customFormat="1" x14ac:dyDescent="0.15">
      <c r="A345" s="7"/>
      <c r="B345" s="31"/>
      <c r="C345" s="14"/>
      <c r="D345" s="11"/>
      <c r="E345" s="8"/>
      <c r="F345" s="9"/>
      <c r="G345" s="10"/>
      <c r="H345" s="10"/>
    </row>
    <row r="346" spans="1:8" s="15" customFormat="1" x14ac:dyDescent="0.15">
      <c r="A346" s="7"/>
      <c r="B346" s="33"/>
      <c r="C346" s="11"/>
      <c r="D346" s="11"/>
      <c r="E346" s="8"/>
      <c r="F346" s="9"/>
      <c r="G346" s="10"/>
      <c r="H346" s="10"/>
    </row>
    <row r="347" spans="1:8" s="15" customFormat="1" x14ac:dyDescent="0.15">
      <c r="A347" s="7"/>
      <c r="B347" s="31"/>
      <c r="C347" s="11"/>
      <c r="D347" s="11"/>
      <c r="E347" s="8"/>
      <c r="F347" s="9"/>
      <c r="G347" s="10"/>
      <c r="H347" s="10"/>
    </row>
    <row r="348" spans="1:8" s="15" customFormat="1" x14ac:dyDescent="0.15">
      <c r="A348" s="7"/>
      <c r="B348" s="33"/>
      <c r="C348" s="11"/>
      <c r="D348" s="11"/>
      <c r="E348" s="8"/>
      <c r="F348" s="9"/>
      <c r="G348" s="10"/>
      <c r="H348" s="10"/>
    </row>
    <row r="349" spans="1:8" s="15" customFormat="1" x14ac:dyDescent="0.15">
      <c r="A349" s="7"/>
      <c r="B349" s="31"/>
      <c r="C349" s="11"/>
      <c r="D349" s="11"/>
      <c r="E349" s="8"/>
      <c r="F349" s="9"/>
      <c r="G349" s="10"/>
      <c r="H349" s="10"/>
    </row>
    <row r="350" spans="1:8" s="15" customFormat="1" x14ac:dyDescent="0.15">
      <c r="A350" s="7"/>
      <c r="B350" s="33"/>
      <c r="C350" s="11"/>
      <c r="D350" s="11"/>
      <c r="E350" s="8"/>
      <c r="F350" s="8"/>
      <c r="G350" s="10"/>
      <c r="H350" s="10"/>
    </row>
    <row r="351" spans="1:8" s="15" customFormat="1" x14ac:dyDescent="0.15">
      <c r="A351" s="3"/>
      <c r="B351" s="33"/>
      <c r="C351" s="11"/>
      <c r="D351" s="11"/>
      <c r="E351" s="8"/>
      <c r="F351" s="8"/>
      <c r="G351" s="10"/>
      <c r="H351" s="10"/>
    </row>
    <row r="352" spans="1:8" s="15" customFormat="1" x14ac:dyDescent="0.15">
      <c r="A352" s="7"/>
      <c r="B352" s="33"/>
      <c r="C352" s="11"/>
      <c r="D352" s="11"/>
      <c r="E352" s="8"/>
      <c r="F352" s="34"/>
      <c r="G352" s="10"/>
      <c r="H352" s="10"/>
    </row>
    <row r="353" spans="1:8" s="15" customFormat="1" x14ac:dyDescent="0.15">
      <c r="A353" s="7"/>
      <c r="B353" s="31"/>
      <c r="C353" s="11"/>
      <c r="D353" s="11"/>
      <c r="E353" s="8"/>
      <c r="F353" s="34"/>
      <c r="G353" s="10"/>
      <c r="H353" s="10"/>
    </row>
    <row r="354" spans="1:8" s="15" customFormat="1" x14ac:dyDescent="0.15">
      <c r="A354" s="7"/>
      <c r="B354" s="33"/>
      <c r="C354" s="11"/>
      <c r="D354" s="11"/>
      <c r="E354" s="8"/>
      <c r="F354" s="8"/>
      <c r="G354" s="10"/>
      <c r="H354" s="10"/>
    </row>
    <row r="355" spans="1:8" s="15" customFormat="1" x14ac:dyDescent="0.15">
      <c r="A355" s="7"/>
      <c r="B355" s="31"/>
      <c r="C355" s="14"/>
      <c r="D355" s="11"/>
      <c r="E355" s="8"/>
      <c r="F355" s="8"/>
      <c r="G355" s="10"/>
      <c r="H355" s="10"/>
    </row>
    <row r="356" spans="1:8" s="15" customFormat="1" x14ac:dyDescent="0.15">
      <c r="A356" s="7"/>
      <c r="B356" s="33"/>
      <c r="C356" s="11"/>
      <c r="D356" s="11"/>
      <c r="E356" s="8"/>
      <c r="F356" s="8"/>
      <c r="G356" s="10"/>
      <c r="H356" s="10"/>
    </row>
    <row r="357" spans="1:8" s="15" customFormat="1" x14ac:dyDescent="0.15">
      <c r="A357" s="7"/>
      <c r="B357" s="31"/>
      <c r="C357" s="11"/>
      <c r="D357" s="11"/>
      <c r="E357" s="8"/>
      <c r="F357" s="8"/>
      <c r="G357" s="10"/>
      <c r="H357" s="10"/>
    </row>
    <row r="358" spans="1:8" s="15" customFormat="1" x14ac:dyDescent="0.15">
      <c r="A358" s="7"/>
      <c r="B358" s="33"/>
      <c r="C358" s="11"/>
      <c r="D358" s="11"/>
      <c r="E358" s="8"/>
      <c r="F358" s="8"/>
      <c r="G358" s="10"/>
      <c r="H358" s="10"/>
    </row>
    <row r="359" spans="1:8" s="15" customFormat="1" x14ac:dyDescent="0.15">
      <c r="A359" s="7"/>
      <c r="B359" s="31"/>
      <c r="C359" s="11"/>
      <c r="D359" s="11"/>
      <c r="E359" s="8"/>
      <c r="F359" s="8"/>
      <c r="G359" s="10"/>
      <c r="H359" s="10"/>
    </row>
    <row r="360" spans="1:8" s="15" customFormat="1" x14ac:dyDescent="0.15">
      <c r="A360" s="7"/>
      <c r="B360" s="33"/>
      <c r="C360" s="11"/>
      <c r="D360" s="11"/>
      <c r="E360" s="8"/>
      <c r="F360" s="8"/>
      <c r="G360" s="10"/>
      <c r="H360" s="10"/>
    </row>
    <row r="361" spans="1:8" s="15" customFormat="1" x14ac:dyDescent="0.15">
      <c r="A361" s="7"/>
      <c r="B361" s="31"/>
      <c r="C361" s="11"/>
      <c r="D361" s="11"/>
      <c r="E361" s="8"/>
      <c r="F361" s="8"/>
      <c r="G361" s="10"/>
      <c r="H361" s="10"/>
    </row>
    <row r="362" spans="1:8" s="15" customFormat="1" x14ac:dyDescent="0.15">
      <c r="A362" s="7"/>
      <c r="B362" s="31"/>
      <c r="C362" s="11"/>
      <c r="D362" s="11"/>
      <c r="E362" s="8"/>
      <c r="F362" s="8"/>
      <c r="G362" s="10"/>
      <c r="H362" s="10"/>
    </row>
    <row r="363" spans="1:8" s="15" customFormat="1" x14ac:dyDescent="0.15">
      <c r="A363" s="7"/>
      <c r="B363" s="31"/>
      <c r="C363" s="11"/>
      <c r="D363" s="11"/>
      <c r="E363" s="8"/>
      <c r="F363" s="8"/>
      <c r="G363" s="10"/>
      <c r="H363" s="10"/>
    </row>
    <row r="364" spans="1:8" s="15" customFormat="1" x14ac:dyDescent="0.15">
      <c r="A364" s="7"/>
      <c r="B364" s="31"/>
      <c r="C364" s="11"/>
      <c r="D364" s="11"/>
      <c r="E364" s="8"/>
      <c r="F364" s="8"/>
      <c r="G364" s="10"/>
      <c r="H364" s="10"/>
    </row>
    <row r="365" spans="1:8" s="15" customFormat="1" x14ac:dyDescent="0.15">
      <c r="A365" s="7"/>
      <c r="B365" s="31"/>
      <c r="C365" s="11"/>
      <c r="D365" s="11"/>
      <c r="E365" s="8"/>
      <c r="F365" s="8"/>
      <c r="G365" s="10"/>
      <c r="H365" s="10"/>
    </row>
    <row r="366" spans="1:8" s="15" customFormat="1" x14ac:dyDescent="0.15">
      <c r="A366" s="7"/>
      <c r="B366" s="31"/>
      <c r="C366" s="11"/>
      <c r="D366" s="11"/>
      <c r="E366" s="8"/>
      <c r="F366" s="8"/>
      <c r="G366" s="10"/>
      <c r="H366" s="10"/>
    </row>
    <row r="367" spans="1:8" s="15" customFormat="1" x14ac:dyDescent="0.15">
      <c r="A367" s="7"/>
      <c r="B367" s="31"/>
      <c r="C367" s="11"/>
      <c r="D367" s="11"/>
      <c r="E367" s="8"/>
      <c r="F367" s="8"/>
      <c r="G367" s="10"/>
      <c r="H367" s="10"/>
    </row>
    <row r="368" spans="1:8" s="15" customFormat="1" x14ac:dyDescent="0.15">
      <c r="A368" s="7"/>
      <c r="B368" s="33"/>
      <c r="C368" s="11"/>
      <c r="D368" s="11"/>
      <c r="E368" s="8"/>
      <c r="F368" s="8"/>
      <c r="G368" s="10"/>
      <c r="H368" s="10"/>
    </row>
    <row r="369" spans="1:8" s="15" customFormat="1" x14ac:dyDescent="0.15">
      <c r="A369" s="7"/>
      <c r="B369" s="31"/>
      <c r="C369" s="11"/>
      <c r="D369" s="11"/>
      <c r="E369" s="8"/>
      <c r="F369" s="8"/>
      <c r="G369" s="10"/>
      <c r="H369" s="10"/>
    </row>
    <row r="370" spans="1:8" s="15" customFormat="1" x14ac:dyDescent="0.15">
      <c r="A370" s="7"/>
      <c r="B370" s="33"/>
      <c r="C370" s="11"/>
      <c r="D370" s="11"/>
      <c r="E370" s="8"/>
      <c r="F370" s="8"/>
      <c r="G370" s="10"/>
      <c r="H370" s="10"/>
    </row>
    <row r="371" spans="1:8" s="15" customFormat="1" x14ac:dyDescent="0.15">
      <c r="A371" s="7"/>
      <c r="B371" s="31"/>
      <c r="C371" s="11"/>
      <c r="D371" s="11"/>
      <c r="E371" s="8"/>
      <c r="F371" s="8"/>
      <c r="G371" s="10"/>
      <c r="H371" s="10"/>
    </row>
    <row r="372" spans="1:8" s="15" customFormat="1" x14ac:dyDescent="0.15">
      <c r="A372" s="7"/>
      <c r="B372" s="31"/>
      <c r="C372" s="11"/>
      <c r="D372" s="11"/>
      <c r="E372" s="8"/>
      <c r="F372" s="9"/>
      <c r="G372" s="10"/>
      <c r="H372" s="10"/>
    </row>
    <row r="373" spans="1:8" s="15" customFormat="1" x14ac:dyDescent="0.15">
      <c r="A373" s="7"/>
      <c r="B373" s="31"/>
      <c r="C373" s="11"/>
      <c r="D373" s="11"/>
      <c r="E373" s="8"/>
      <c r="F373" s="9"/>
      <c r="G373" s="10"/>
      <c r="H373" s="10"/>
    </row>
    <row r="374" spans="1:8" s="15" customFormat="1" x14ac:dyDescent="0.15">
      <c r="A374" s="7"/>
      <c r="B374" s="33"/>
      <c r="C374" s="14"/>
      <c r="D374" s="11"/>
      <c r="E374" s="8"/>
      <c r="F374" s="9"/>
      <c r="G374" s="10"/>
      <c r="H374" s="10"/>
    </row>
    <row r="375" spans="1:8" s="15" customFormat="1" x14ac:dyDescent="0.15">
      <c r="A375" s="7"/>
      <c r="B375" s="31"/>
      <c r="C375" s="14"/>
      <c r="D375" s="11"/>
      <c r="E375" s="8"/>
      <c r="F375" s="9"/>
      <c r="G375" s="10"/>
      <c r="H375" s="10"/>
    </row>
    <row r="376" spans="1:8" s="15" customFormat="1" x14ac:dyDescent="0.15">
      <c r="A376" s="7"/>
      <c r="B376" s="33"/>
      <c r="C376" s="11"/>
      <c r="D376" s="11"/>
      <c r="E376" s="8"/>
      <c r="F376" s="9"/>
      <c r="G376" s="10"/>
      <c r="H376" s="10"/>
    </row>
    <row r="377" spans="1:8" s="15" customFormat="1" x14ac:dyDescent="0.15">
      <c r="A377" s="7"/>
      <c r="B377" s="31"/>
      <c r="C377" s="11"/>
      <c r="D377" s="11"/>
      <c r="E377" s="8"/>
      <c r="F377" s="9"/>
      <c r="G377" s="10"/>
      <c r="H377" s="10"/>
    </row>
    <row r="378" spans="1:8" s="15" customFormat="1" x14ac:dyDescent="0.15">
      <c r="A378" s="7"/>
      <c r="B378" s="33"/>
      <c r="C378" s="11"/>
      <c r="D378" s="11"/>
      <c r="E378" s="8"/>
      <c r="F378" s="9"/>
      <c r="G378" s="10"/>
      <c r="H378" s="10"/>
    </row>
    <row r="379" spans="1:8" s="15" customFormat="1" x14ac:dyDescent="0.15">
      <c r="A379" s="7"/>
      <c r="B379" s="31"/>
      <c r="C379" s="11"/>
      <c r="D379" s="11"/>
      <c r="E379" s="8"/>
      <c r="F379" s="9"/>
      <c r="G379" s="10"/>
      <c r="H379" s="10"/>
    </row>
    <row r="380" spans="1:8" s="15" customFormat="1" x14ac:dyDescent="0.15">
      <c r="A380" s="7"/>
      <c r="B380" s="31"/>
      <c r="C380" s="11"/>
      <c r="D380" s="11"/>
      <c r="E380" s="8"/>
      <c r="F380" s="8"/>
      <c r="G380" s="10"/>
      <c r="H380" s="10"/>
    </row>
    <row r="381" spans="1:8" s="15" customFormat="1" x14ac:dyDescent="0.15">
      <c r="A381" s="7"/>
      <c r="B381" s="31"/>
      <c r="C381" s="11"/>
      <c r="D381" s="11"/>
      <c r="E381" s="8"/>
      <c r="F381" s="8"/>
      <c r="G381" s="10"/>
      <c r="H381" s="10"/>
    </row>
    <row r="382" spans="1:8" s="15" customFormat="1" x14ac:dyDescent="0.15">
      <c r="A382" s="7"/>
      <c r="B382" s="33"/>
      <c r="C382" s="11"/>
      <c r="D382" s="11"/>
      <c r="E382" s="8"/>
      <c r="F382" s="8"/>
      <c r="G382" s="10"/>
      <c r="H382" s="10"/>
    </row>
    <row r="383" spans="1:8" s="15" customFormat="1" x14ac:dyDescent="0.15">
      <c r="A383" s="7"/>
      <c r="B383" s="31"/>
      <c r="C383" s="11"/>
      <c r="D383" s="11"/>
      <c r="E383" s="8"/>
      <c r="F383" s="8"/>
      <c r="G383" s="10"/>
      <c r="H383" s="10"/>
    </row>
    <row r="384" spans="1:8" s="15" customFormat="1" x14ac:dyDescent="0.15">
      <c r="A384" s="7"/>
      <c r="B384" s="33"/>
      <c r="C384" s="11"/>
      <c r="D384" s="11"/>
      <c r="E384" s="8"/>
      <c r="F384" s="34"/>
      <c r="G384" s="10"/>
      <c r="H384" s="10"/>
    </row>
    <row r="385" spans="1:8" s="15" customFormat="1" x14ac:dyDescent="0.15">
      <c r="A385" s="7"/>
      <c r="B385" s="31"/>
      <c r="C385" s="11"/>
      <c r="D385" s="11"/>
      <c r="E385" s="8"/>
      <c r="F385" s="34"/>
      <c r="G385" s="10"/>
      <c r="H385" s="10"/>
    </row>
    <row r="386" spans="1:8" s="15" customFormat="1" x14ac:dyDescent="0.15">
      <c r="A386" s="7"/>
      <c r="B386" s="31"/>
      <c r="C386" s="11"/>
      <c r="D386" s="11"/>
      <c r="E386" s="8"/>
      <c r="F386" s="8"/>
      <c r="G386" s="10"/>
      <c r="H386" s="10"/>
    </row>
    <row r="387" spans="1:8" s="15" customFormat="1" x14ac:dyDescent="0.15">
      <c r="A387" s="7"/>
      <c r="B387" s="31"/>
      <c r="C387" s="14"/>
      <c r="D387" s="11"/>
      <c r="E387" s="8"/>
      <c r="F387" s="8"/>
      <c r="G387" s="10"/>
      <c r="H387" s="10"/>
    </row>
    <row r="388" spans="1:8" s="15" customFormat="1" x14ac:dyDescent="0.15">
      <c r="A388" s="7"/>
      <c r="B388" s="31"/>
      <c r="C388" s="11"/>
      <c r="D388" s="11"/>
      <c r="E388" s="8"/>
      <c r="F388" s="8"/>
      <c r="G388" s="10"/>
      <c r="H388" s="10"/>
    </row>
    <row r="389" spans="1:8" s="15" customFormat="1" x14ac:dyDescent="0.15">
      <c r="A389" s="7"/>
      <c r="B389" s="31"/>
      <c r="C389" s="14"/>
      <c r="D389" s="11"/>
      <c r="E389" s="8"/>
      <c r="F389" s="8"/>
      <c r="G389" s="10"/>
      <c r="H389" s="10"/>
    </row>
    <row r="390" spans="1:8" s="15" customFormat="1" x14ac:dyDescent="0.15">
      <c r="A390" s="7"/>
      <c r="B390" s="33"/>
      <c r="C390" s="11"/>
      <c r="D390" s="11"/>
      <c r="E390" s="8"/>
      <c r="F390" s="8"/>
      <c r="G390" s="10"/>
      <c r="H390" s="10"/>
    </row>
    <row r="391" spans="1:8" s="15" customFormat="1" x14ac:dyDescent="0.15">
      <c r="A391" s="7"/>
      <c r="B391" s="31"/>
      <c r="C391" s="11"/>
      <c r="D391" s="11"/>
      <c r="E391" s="8"/>
      <c r="F391" s="8"/>
      <c r="G391" s="10"/>
      <c r="H391" s="10"/>
    </row>
    <row r="392" spans="1:8" s="15" customFormat="1" x14ac:dyDescent="0.15">
      <c r="A392" s="7"/>
      <c r="B392" s="31"/>
      <c r="C392" s="11"/>
      <c r="D392" s="11"/>
      <c r="E392" s="8"/>
      <c r="F392" s="8"/>
      <c r="G392" s="10"/>
      <c r="H392" s="36"/>
    </row>
    <row r="393" spans="1:8" s="15" customFormat="1" x14ac:dyDescent="0.15">
      <c r="A393" s="7"/>
      <c r="B393" s="31"/>
      <c r="C393" s="11"/>
      <c r="D393" s="11"/>
      <c r="E393" s="8"/>
      <c r="F393" s="8"/>
      <c r="G393" s="10"/>
      <c r="H393" s="10"/>
    </row>
    <row r="394" spans="1:8" s="15" customFormat="1" x14ac:dyDescent="0.15">
      <c r="A394" s="7"/>
      <c r="B394" s="33"/>
      <c r="C394" s="11"/>
      <c r="D394" s="11"/>
      <c r="E394" s="8"/>
      <c r="F394" s="8"/>
      <c r="G394" s="10"/>
      <c r="H394" s="10"/>
    </row>
    <row r="395" spans="1:8" s="15" customFormat="1" x14ac:dyDescent="0.15">
      <c r="A395" s="7"/>
      <c r="B395" s="31"/>
      <c r="C395" s="11"/>
      <c r="D395" s="11"/>
      <c r="E395" s="8"/>
      <c r="F395" s="8"/>
      <c r="G395" s="10"/>
      <c r="H395" s="10"/>
    </row>
    <row r="396" spans="1:8" s="15" customFormat="1" x14ac:dyDescent="0.15">
      <c r="A396" s="7"/>
      <c r="B396" s="31"/>
      <c r="C396" s="11"/>
      <c r="D396" s="11"/>
      <c r="E396" s="8"/>
      <c r="F396" s="9"/>
      <c r="G396" s="10"/>
      <c r="H396" s="10"/>
    </row>
    <row r="397" spans="1:8" s="15" customFormat="1" x14ac:dyDescent="0.15">
      <c r="A397" s="7"/>
      <c r="B397" s="31"/>
      <c r="C397" s="11"/>
      <c r="D397" s="11"/>
      <c r="E397" s="8"/>
      <c r="F397" s="9"/>
      <c r="G397" s="10"/>
      <c r="H397" s="10"/>
    </row>
    <row r="398" spans="1:8" s="15" customFormat="1" x14ac:dyDescent="0.15">
      <c r="A398" s="7"/>
      <c r="B398" s="31"/>
      <c r="C398" s="11"/>
      <c r="D398" s="11"/>
      <c r="E398" s="8"/>
      <c r="F398" s="9"/>
      <c r="G398" s="10"/>
      <c r="H398" s="10"/>
    </row>
    <row r="399" spans="1:8" s="15" customFormat="1" x14ac:dyDescent="0.15">
      <c r="A399" s="7"/>
      <c r="B399" s="31"/>
      <c r="C399" s="14"/>
      <c r="D399" s="11"/>
      <c r="E399" s="8"/>
      <c r="F399" s="9"/>
      <c r="G399" s="10"/>
      <c r="H399" s="19"/>
    </row>
    <row r="400" spans="1:8" s="15" customFormat="1" x14ac:dyDescent="0.15">
      <c r="A400" s="7"/>
      <c r="B400" s="31"/>
      <c r="C400" s="11"/>
      <c r="D400" s="11"/>
      <c r="E400" s="8"/>
      <c r="F400" s="9"/>
      <c r="G400" s="10"/>
      <c r="H400" s="10"/>
    </row>
    <row r="401" spans="1:8" s="15" customFormat="1" x14ac:dyDescent="0.15">
      <c r="A401" s="7"/>
      <c r="B401" s="31"/>
      <c r="C401" s="11"/>
      <c r="D401" s="11"/>
      <c r="E401" s="8"/>
      <c r="F401" s="9"/>
      <c r="G401" s="10"/>
      <c r="H401" s="10"/>
    </row>
    <row r="402" spans="1:8" s="15" customFormat="1" x14ac:dyDescent="0.15">
      <c r="A402" s="7"/>
      <c r="B402" s="31"/>
      <c r="C402" s="11"/>
      <c r="D402" s="11"/>
      <c r="E402" s="8"/>
      <c r="F402" s="9"/>
      <c r="G402" s="10"/>
      <c r="H402" s="10"/>
    </row>
    <row r="403" spans="1:8" s="15" customFormat="1" x14ac:dyDescent="0.15">
      <c r="A403" s="7"/>
      <c r="B403" s="31"/>
      <c r="C403" s="11"/>
      <c r="D403" s="11"/>
      <c r="E403" s="8"/>
      <c r="F403" s="9"/>
      <c r="G403" s="10"/>
      <c r="H403" s="10"/>
    </row>
    <row r="404" spans="1:8" s="15" customFormat="1" x14ac:dyDescent="0.15">
      <c r="A404" s="7"/>
      <c r="B404" s="31"/>
      <c r="C404" s="11"/>
      <c r="D404" s="11"/>
      <c r="E404" s="8"/>
      <c r="F404" s="9"/>
      <c r="G404" s="10"/>
      <c r="H404" s="10"/>
    </row>
    <row r="405" spans="1:8" s="15" customFormat="1" x14ac:dyDescent="0.15">
      <c r="A405" s="7"/>
      <c r="B405" s="31"/>
      <c r="C405" s="11"/>
      <c r="D405" s="11"/>
      <c r="E405" s="8"/>
      <c r="F405" s="9"/>
      <c r="G405" s="10"/>
      <c r="H405" s="10"/>
    </row>
    <row r="406" spans="1:8" s="15" customFormat="1" x14ac:dyDescent="0.15">
      <c r="A406" s="7"/>
      <c r="B406" s="31"/>
      <c r="C406" s="11"/>
      <c r="D406" s="11"/>
      <c r="E406" s="8"/>
      <c r="F406" s="9"/>
      <c r="G406" s="10"/>
      <c r="H406" s="10"/>
    </row>
    <row r="407" spans="1:8" s="15" customFormat="1" x14ac:dyDescent="0.15">
      <c r="A407" s="7"/>
      <c r="B407" s="31"/>
      <c r="C407" s="11"/>
      <c r="D407" s="11"/>
      <c r="E407" s="8"/>
      <c r="F407" s="9"/>
      <c r="G407" s="10"/>
      <c r="H407" s="10"/>
    </row>
    <row r="408" spans="1:8" s="15" customFormat="1" x14ac:dyDescent="0.15">
      <c r="A408" s="7"/>
      <c r="B408" s="31"/>
      <c r="C408" s="11"/>
      <c r="D408" s="11"/>
      <c r="E408" s="8"/>
      <c r="F408" s="9"/>
      <c r="G408" s="10"/>
      <c r="H408" s="10"/>
    </row>
    <row r="409" spans="1:8" s="15" customFormat="1" x14ac:dyDescent="0.15">
      <c r="A409" s="7"/>
      <c r="B409" s="31"/>
      <c r="C409" s="11"/>
      <c r="D409" s="11"/>
      <c r="E409" s="8"/>
      <c r="F409" s="9"/>
      <c r="G409" s="10"/>
      <c r="H409" s="10"/>
    </row>
    <row r="410" spans="1:8" s="15" customFormat="1" x14ac:dyDescent="0.15">
      <c r="A410" s="7"/>
      <c r="B410" s="31"/>
      <c r="C410" s="11"/>
      <c r="D410" s="11"/>
      <c r="E410" s="8"/>
      <c r="F410" s="9"/>
      <c r="G410" s="10"/>
      <c r="H410" s="10"/>
    </row>
    <row r="411" spans="1:8" s="15" customFormat="1" x14ac:dyDescent="0.15">
      <c r="A411" s="7"/>
      <c r="B411" s="31"/>
      <c r="C411" s="11"/>
      <c r="D411" s="11"/>
      <c r="E411" s="8"/>
      <c r="F411" s="9"/>
      <c r="G411" s="10"/>
      <c r="H411" s="10"/>
    </row>
    <row r="412" spans="1:8" s="15" customFormat="1" x14ac:dyDescent="0.15">
      <c r="A412" s="7"/>
      <c r="B412" s="31"/>
      <c r="C412" s="11"/>
      <c r="D412" s="11"/>
      <c r="E412" s="8"/>
      <c r="F412" s="9"/>
      <c r="G412" s="10"/>
      <c r="H412" s="10"/>
    </row>
    <row r="413" spans="1:8" s="15" customFormat="1" x14ac:dyDescent="0.15">
      <c r="A413" s="7"/>
      <c r="B413" s="31"/>
      <c r="C413" s="11"/>
      <c r="D413" s="11"/>
      <c r="E413" s="8"/>
      <c r="F413" s="9"/>
      <c r="G413" s="10"/>
      <c r="H413" s="10"/>
    </row>
    <row r="414" spans="1:8" s="15" customFormat="1" x14ac:dyDescent="0.15">
      <c r="A414" s="7"/>
      <c r="B414" s="31"/>
      <c r="C414" s="11"/>
      <c r="D414" s="11"/>
      <c r="E414" s="8"/>
      <c r="F414" s="9"/>
      <c r="G414" s="10"/>
      <c r="H414" s="10"/>
    </row>
    <row r="415" spans="1:8" s="15" customFormat="1" x14ac:dyDescent="0.15">
      <c r="A415" s="7"/>
      <c r="B415" s="31"/>
      <c r="C415" s="11"/>
      <c r="D415" s="11"/>
      <c r="E415" s="8"/>
      <c r="F415" s="9"/>
      <c r="G415" s="10"/>
      <c r="H415" s="10"/>
    </row>
    <row r="416" spans="1:8" s="15" customFormat="1" x14ac:dyDescent="0.15">
      <c r="A416" s="7"/>
      <c r="B416" s="31"/>
      <c r="C416" s="11"/>
      <c r="D416" s="11"/>
      <c r="E416" s="8"/>
      <c r="F416" s="9"/>
      <c r="G416" s="10"/>
      <c r="H416" s="10"/>
    </row>
    <row r="417" spans="1:9" s="15" customFormat="1" x14ac:dyDescent="0.15">
      <c r="A417" s="7"/>
      <c r="B417" s="31"/>
      <c r="C417" s="11"/>
      <c r="D417" s="11"/>
      <c r="E417" s="8"/>
      <c r="F417" s="9"/>
      <c r="G417" s="10"/>
      <c r="H417" s="10"/>
    </row>
    <row r="418" spans="1:9" s="15" customFormat="1" x14ac:dyDescent="0.15">
      <c r="A418" s="7"/>
      <c r="B418" s="31"/>
      <c r="C418" s="11"/>
      <c r="D418" s="11"/>
      <c r="E418" s="8"/>
      <c r="F418" s="9"/>
      <c r="G418" s="10"/>
      <c r="H418" s="10"/>
    </row>
    <row r="419" spans="1:9" s="15" customFormat="1" x14ac:dyDescent="0.15">
      <c r="A419" s="7"/>
      <c r="B419" s="31"/>
      <c r="C419" s="11"/>
      <c r="D419" s="11"/>
      <c r="E419" s="8"/>
      <c r="F419" s="9"/>
      <c r="G419" s="10"/>
      <c r="H419" s="10"/>
      <c r="I419" s="11"/>
    </row>
    <row r="420" spans="1:9" s="15" customFormat="1" x14ac:dyDescent="0.15">
      <c r="A420" s="7"/>
      <c r="B420" s="31"/>
      <c r="C420" s="11"/>
      <c r="D420" s="5"/>
      <c r="E420" s="8"/>
      <c r="F420" s="9"/>
      <c r="G420" s="10"/>
      <c r="H420" s="10"/>
      <c r="I420" s="11"/>
    </row>
    <row r="421" spans="1:9" s="15" customFormat="1" x14ac:dyDescent="0.15">
      <c r="A421" s="7"/>
      <c r="B421" s="31"/>
      <c r="C421" s="11"/>
      <c r="D421" s="5"/>
      <c r="E421" s="8"/>
      <c r="F421" s="9"/>
      <c r="G421" s="10"/>
      <c r="H421" s="10"/>
      <c r="I421" s="11"/>
    </row>
    <row r="422" spans="1:9" s="15" customFormat="1" x14ac:dyDescent="0.15">
      <c r="A422" s="7"/>
      <c r="B422" s="31"/>
      <c r="C422" s="11"/>
      <c r="D422" s="5"/>
      <c r="E422" s="8"/>
      <c r="F422" s="9"/>
      <c r="G422" s="10"/>
      <c r="H422" s="10"/>
      <c r="I422" s="11"/>
    </row>
    <row r="423" spans="1:9" s="15" customFormat="1" x14ac:dyDescent="0.15">
      <c r="A423" s="7"/>
      <c r="B423" s="31"/>
      <c r="C423" s="5"/>
      <c r="D423" s="5"/>
      <c r="E423" s="8"/>
      <c r="F423" s="9"/>
      <c r="G423" s="10"/>
      <c r="H423" s="10"/>
      <c r="I423" s="11"/>
    </row>
    <row r="424" spans="1:9" s="15" customFormat="1" x14ac:dyDescent="0.15">
      <c r="A424" s="7"/>
      <c r="B424" s="31"/>
      <c r="C424" s="5"/>
      <c r="D424" s="5"/>
      <c r="E424" s="8"/>
      <c r="F424" s="9"/>
      <c r="G424" s="10"/>
      <c r="H424" s="10"/>
      <c r="I424" s="5"/>
    </row>
    <row r="425" spans="1:9" s="15" customFormat="1" x14ac:dyDescent="0.15">
      <c r="A425" s="7"/>
      <c r="B425" s="31"/>
      <c r="C425" s="5"/>
      <c r="D425" s="5"/>
      <c r="E425" s="8"/>
      <c r="F425" s="9"/>
      <c r="G425" s="10"/>
      <c r="H425" s="10"/>
      <c r="I425" s="5"/>
    </row>
    <row r="426" spans="1:9" s="15" customFormat="1" x14ac:dyDescent="0.15">
      <c r="A426" s="7"/>
      <c r="B426" s="31"/>
      <c r="C426" s="5"/>
      <c r="D426" s="5"/>
      <c r="E426" s="8"/>
      <c r="F426" s="9"/>
      <c r="G426" s="10"/>
      <c r="H426" s="10"/>
      <c r="I426" s="5"/>
    </row>
    <row r="427" spans="1:9" s="15" customFormat="1" x14ac:dyDescent="0.15">
      <c r="A427" s="7"/>
      <c r="B427" s="31"/>
      <c r="C427" s="5"/>
      <c r="D427" s="5"/>
      <c r="E427" s="8"/>
      <c r="F427" s="9"/>
      <c r="G427" s="10"/>
      <c r="H427" s="10"/>
      <c r="I427" s="5"/>
    </row>
    <row r="428" spans="1:9" s="15" customFormat="1" x14ac:dyDescent="0.15">
      <c r="A428" s="7"/>
      <c r="B428" s="31"/>
      <c r="C428" s="5"/>
      <c r="D428" s="5"/>
      <c r="E428" s="8"/>
      <c r="F428" s="9"/>
      <c r="G428" s="10"/>
      <c r="H428" s="10"/>
      <c r="I428" s="5"/>
    </row>
    <row r="429" spans="1:9" s="15" customFormat="1" x14ac:dyDescent="0.15">
      <c r="A429" s="7"/>
      <c r="B429" s="31"/>
      <c r="C429" s="5"/>
      <c r="D429" s="5"/>
      <c r="E429" s="8"/>
      <c r="F429" s="9"/>
      <c r="G429" s="10"/>
      <c r="H429" s="10"/>
      <c r="I429" s="5"/>
    </row>
    <row r="430" spans="1:9" s="15" customFormat="1" x14ac:dyDescent="0.15">
      <c r="A430" s="7"/>
      <c r="B430" s="31"/>
      <c r="C430" s="5"/>
      <c r="D430" s="5"/>
      <c r="E430" s="8"/>
      <c r="F430" s="9"/>
      <c r="G430" s="10"/>
      <c r="H430" s="10"/>
      <c r="I430" s="5"/>
    </row>
    <row r="431" spans="1:9" s="15" customFormat="1" x14ac:dyDescent="0.15">
      <c r="A431" s="7"/>
      <c r="B431" s="31"/>
      <c r="C431" s="5"/>
      <c r="D431" s="5"/>
      <c r="E431" s="8"/>
      <c r="F431" s="9"/>
      <c r="G431" s="10"/>
      <c r="H431" s="10"/>
      <c r="I431" s="5"/>
    </row>
    <row r="432" spans="1:9" s="15" customFormat="1" x14ac:dyDescent="0.15">
      <c r="A432" s="7"/>
      <c r="B432" s="31"/>
      <c r="C432" s="5"/>
      <c r="D432" s="5"/>
      <c r="E432" s="8"/>
      <c r="F432" s="9"/>
      <c r="G432" s="10"/>
      <c r="H432" s="10"/>
      <c r="I432" s="5"/>
    </row>
    <row r="433" spans="2:8" x14ac:dyDescent="0.15">
      <c r="B433" s="31"/>
      <c r="H433" s="10"/>
    </row>
    <row r="434" spans="2:8" x14ac:dyDescent="0.15">
      <c r="B434" s="31"/>
      <c r="H434" s="10"/>
    </row>
    <row r="435" spans="2:8" x14ac:dyDescent="0.15">
      <c r="B435" s="31"/>
      <c r="H435" s="10"/>
    </row>
    <row r="436" spans="2:8" x14ac:dyDescent="0.15">
      <c r="B436" s="31"/>
      <c r="H436" s="10"/>
    </row>
    <row r="437" spans="2:8" x14ac:dyDescent="0.15">
      <c r="B437" s="31"/>
      <c r="H437" s="10"/>
    </row>
    <row r="438" spans="2:8" x14ac:dyDescent="0.15">
      <c r="H438" s="10"/>
    </row>
    <row r="439" spans="2:8" x14ac:dyDescent="0.15">
      <c r="H439" s="10"/>
    </row>
    <row r="507" spans="9:9" x14ac:dyDescent="0.15">
      <c r="I507" s="1"/>
    </row>
    <row r="516" spans="1:9" s="1" customFormat="1" x14ac:dyDescent="0.15">
      <c r="A516" s="7"/>
      <c r="B516" s="4"/>
      <c r="C516" s="5"/>
      <c r="D516" s="5"/>
      <c r="E516" s="8"/>
      <c r="F516" s="9"/>
      <c r="G516" s="10"/>
      <c r="H516" s="20"/>
      <c r="I516" s="5"/>
    </row>
    <row r="521" spans="1:9" x14ac:dyDescent="0.15">
      <c r="B521" s="31"/>
    </row>
    <row r="523" spans="1:9" x14ac:dyDescent="0.15">
      <c r="H523" s="10"/>
    </row>
    <row r="539" spans="9:9" x14ac:dyDescent="0.15">
      <c r="I539" s="1"/>
    </row>
    <row r="540" spans="9:9" x14ac:dyDescent="0.15">
      <c r="I540" s="1"/>
    </row>
    <row r="548" spans="1:9" s="1" customFormat="1" x14ac:dyDescent="0.15">
      <c r="A548" s="7"/>
      <c r="B548" s="4"/>
      <c r="C548" s="5"/>
      <c r="D548" s="5"/>
      <c r="E548" s="8"/>
      <c r="F548" s="9"/>
      <c r="G548" s="10"/>
      <c r="H548" s="20"/>
      <c r="I548" s="5"/>
    </row>
    <row r="549" spans="1:9" s="1" customFormat="1" x14ac:dyDescent="0.15">
      <c r="A549" s="7"/>
      <c r="B549" s="4"/>
      <c r="C549" s="5"/>
      <c r="D549" s="5"/>
      <c r="E549" s="8"/>
      <c r="F549" s="9"/>
      <c r="G549" s="10"/>
      <c r="H549" s="20"/>
      <c r="I549" s="5"/>
    </row>
    <row r="553" spans="1:9" x14ac:dyDescent="0.15">
      <c r="B553" s="31"/>
    </row>
    <row r="554" spans="1:9" x14ac:dyDescent="0.15">
      <c r="B554" s="31"/>
    </row>
    <row r="555" spans="1:9" x14ac:dyDescent="0.15">
      <c r="H555" s="10"/>
      <c r="I555" s="5"/>
    </row>
    <row r="556" spans="1:9" x14ac:dyDescent="0.15">
      <c r="H556" s="10"/>
      <c r="I556" s="5"/>
    </row>
    <row r="557" spans="1:9" x14ac:dyDescent="0.15">
      <c r="I557" s="5"/>
    </row>
    <row r="558" spans="1:9" x14ac:dyDescent="0.15">
      <c r="I558" s="5"/>
    </row>
    <row r="559" spans="1:9" x14ac:dyDescent="0.15">
      <c r="I559" s="5"/>
    </row>
    <row r="560" spans="1:9" x14ac:dyDescent="0.15">
      <c r="B560" s="31"/>
      <c r="I560" s="5"/>
    </row>
    <row r="561" spans="1:8" x14ac:dyDescent="0.15">
      <c r="B561" s="31"/>
    </row>
    <row r="562" spans="1:8" x14ac:dyDescent="0.15">
      <c r="B562" s="31"/>
      <c r="H562" s="10"/>
    </row>
    <row r="563" spans="1:8" x14ac:dyDescent="0.15">
      <c r="B563" s="31"/>
      <c r="H563" s="10"/>
    </row>
    <row r="564" spans="1:8" s="5" customFormat="1" x14ac:dyDescent="0.15">
      <c r="A564" s="7"/>
      <c r="B564" s="31"/>
      <c r="E564" s="8"/>
      <c r="F564" s="9"/>
      <c r="G564" s="10"/>
      <c r="H564" s="10"/>
    </row>
    <row r="565" spans="1:8" s="5" customFormat="1" x14ac:dyDescent="0.15">
      <c r="A565" s="7"/>
      <c r="B565" s="31"/>
      <c r="E565" s="8"/>
      <c r="F565" s="9"/>
      <c r="G565" s="10"/>
      <c r="H565" s="10"/>
    </row>
    <row r="566" spans="1:8" s="5" customFormat="1" x14ac:dyDescent="0.15">
      <c r="A566" s="7"/>
      <c r="B566" s="4"/>
      <c r="E566" s="8"/>
      <c r="F566" s="9"/>
      <c r="G566" s="10"/>
      <c r="H566" s="10"/>
    </row>
    <row r="567" spans="1:8" s="5" customFormat="1" x14ac:dyDescent="0.15">
      <c r="A567" s="7"/>
      <c r="B567" s="4"/>
      <c r="E567" s="8"/>
      <c r="F567" s="9"/>
      <c r="G567" s="10"/>
      <c r="H567" s="10"/>
    </row>
    <row r="568" spans="1:8" s="5" customFormat="1" x14ac:dyDescent="0.15">
      <c r="A568" s="7"/>
      <c r="B568" s="4"/>
      <c r="E568" s="8"/>
      <c r="F568" s="9"/>
      <c r="G568" s="10"/>
      <c r="H568" s="20"/>
    </row>
    <row r="569" spans="1:8" s="5" customFormat="1" x14ac:dyDescent="0.15">
      <c r="A569" s="7"/>
      <c r="B569" s="31"/>
      <c r="E569" s="8"/>
      <c r="F569" s="9"/>
      <c r="G569" s="10"/>
      <c r="H569" s="20"/>
    </row>
    <row r="570" spans="1:8" x14ac:dyDescent="0.15">
      <c r="B570" s="31"/>
    </row>
    <row r="571" spans="1:8" x14ac:dyDescent="0.15">
      <c r="B571" s="31"/>
      <c r="H571" s="10"/>
    </row>
    <row r="572" spans="1:8" x14ac:dyDescent="0.15">
      <c r="B572" s="31"/>
      <c r="H572" s="10"/>
    </row>
    <row r="573" spans="1:8" x14ac:dyDescent="0.15">
      <c r="B573" s="31"/>
      <c r="H573" s="10"/>
    </row>
    <row r="574" spans="1:8" x14ac:dyDescent="0.15">
      <c r="B574" s="31"/>
      <c r="H574" s="10"/>
    </row>
    <row r="575" spans="1:8" x14ac:dyDescent="0.15">
      <c r="H575" s="10"/>
    </row>
    <row r="576" spans="1:8" x14ac:dyDescent="0.15">
      <c r="H576" s="10"/>
    </row>
    <row r="610" spans="1:9" x14ac:dyDescent="0.15">
      <c r="I610" s="5"/>
    </row>
    <row r="619" spans="1:9" s="5" customFormat="1" x14ac:dyDescent="0.15">
      <c r="A619" s="7"/>
      <c r="B619" s="4"/>
      <c r="E619" s="8"/>
      <c r="F619" s="9"/>
      <c r="G619" s="10"/>
      <c r="H619" s="20"/>
    </row>
    <row r="624" spans="1:9" x14ac:dyDescent="0.15">
      <c r="B624" s="31"/>
    </row>
    <row r="626" spans="8:8" x14ac:dyDescent="0.15">
      <c r="H626" s="10"/>
    </row>
  </sheetData>
  <printOptions horizontalCentered="1" verticalCentered="1" gridLines="1"/>
  <pageMargins left="0.35433070866141736" right="0.55118110236220474" top="0.74803149606299213" bottom="0.74803149606299213" header="0.39370078740157483" footer="0.39370078740157483"/>
  <pageSetup paperSize="9" scale="76" firstPageNumber="3" orientation="portrait" useFirstPageNumber="1" r:id="rId1"/>
  <headerFooter>
    <oddHeader xml:space="preserve">&amp;L&amp;K608097175 Glasgow Road, Clydebank&amp;R&amp;K608097Terminal Schedule of Dilapidations    </oddHeader>
    <oddFooter>&amp;L&amp;K608097Melville Gomes Associates &amp;C&amp;K608097&amp;P&amp;R&amp;K608097Chartered Building Surveyors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37750-CF5F-42B3-A96F-FA357ED04A48}">
  <sheetPr>
    <tabColor theme="3" tint="0.39997558519241921"/>
  </sheetPr>
  <dimension ref="A1:I423"/>
  <sheetViews>
    <sheetView view="pageLayout" zoomScale="90" zoomScaleNormal="100" zoomScaleSheetLayoutView="100" zoomScalePageLayoutView="90" workbookViewId="0">
      <selection activeCell="C15" sqref="C15"/>
    </sheetView>
  </sheetViews>
  <sheetFormatPr baseColWidth="10" defaultColWidth="5.6640625" defaultRowHeight="13" x14ac:dyDescent="0.15"/>
  <cols>
    <col min="1" max="1" width="5.6640625" style="7" customWidth="1"/>
    <col min="2" max="2" width="7.83203125" style="4" customWidth="1"/>
    <col min="3" max="3" width="41.83203125" style="5" customWidth="1"/>
    <col min="4" max="4" width="35.33203125" style="5" customWidth="1"/>
    <col min="5" max="5" width="6" style="8" customWidth="1"/>
    <col min="6" max="6" width="7.33203125" style="9" customWidth="1"/>
    <col min="7" max="7" width="9.33203125" style="10" customWidth="1"/>
    <col min="8" max="8" width="11" style="20" customWidth="1"/>
    <col min="9" max="16384" width="5.6640625" style="2"/>
  </cols>
  <sheetData>
    <row r="1" spans="1:9" s="6" customFormat="1" ht="30" x14ac:dyDescent="0.15">
      <c r="A1" s="32" t="s">
        <v>0</v>
      </c>
      <c r="B1" s="22" t="s">
        <v>1</v>
      </c>
      <c r="C1" s="23" t="s">
        <v>2</v>
      </c>
      <c r="D1" s="23" t="s">
        <v>3</v>
      </c>
      <c r="E1" s="23" t="s">
        <v>4</v>
      </c>
      <c r="F1" s="24" t="s">
        <v>5</v>
      </c>
      <c r="G1" s="25" t="s">
        <v>6</v>
      </c>
      <c r="H1" s="25" t="s">
        <v>7</v>
      </c>
    </row>
    <row r="2" spans="1:9" s="15" customFormat="1" x14ac:dyDescent="0.15">
      <c r="A2" s="7"/>
      <c r="B2" s="11"/>
      <c r="C2" s="11"/>
      <c r="D2" s="11"/>
      <c r="E2" s="8"/>
      <c r="F2" s="8"/>
      <c r="G2" s="10"/>
      <c r="H2" s="10"/>
      <c r="I2" s="11"/>
    </row>
    <row r="3" spans="1:9" s="15" customFormat="1" ht="14" x14ac:dyDescent="0.15">
      <c r="A3" s="3">
        <v>5</v>
      </c>
      <c r="B3" s="11"/>
      <c r="C3" s="14" t="s">
        <v>20</v>
      </c>
      <c r="D3" s="11"/>
      <c r="E3" s="8"/>
      <c r="F3" s="8"/>
      <c r="G3" s="10"/>
      <c r="H3" s="10"/>
      <c r="I3" s="11"/>
    </row>
    <row r="4" spans="1:9" s="15" customFormat="1" x14ac:dyDescent="0.15">
      <c r="A4" s="7"/>
      <c r="B4" s="11"/>
      <c r="C4" s="14"/>
      <c r="D4" s="11"/>
      <c r="E4" s="8"/>
      <c r="F4" s="8"/>
      <c r="G4" s="10"/>
      <c r="H4" s="10"/>
      <c r="I4" s="11"/>
    </row>
    <row r="5" spans="1:9" s="15" customFormat="1" ht="14" x14ac:dyDescent="0.15">
      <c r="A5" s="7"/>
      <c r="B5" s="33"/>
      <c r="C5" s="14" t="s">
        <v>557</v>
      </c>
      <c r="D5" s="11"/>
      <c r="E5" s="48"/>
      <c r="F5" s="8"/>
      <c r="G5" s="10"/>
      <c r="H5" s="10"/>
      <c r="I5" s="11"/>
    </row>
    <row r="6" spans="1:9" s="15" customFormat="1" x14ac:dyDescent="0.15">
      <c r="A6" s="7"/>
      <c r="B6" s="33"/>
      <c r="C6" s="11"/>
      <c r="D6" s="11"/>
      <c r="E6" s="48"/>
      <c r="F6" s="8"/>
      <c r="G6" s="10"/>
      <c r="H6" s="10"/>
      <c r="I6" s="11"/>
    </row>
    <row r="7" spans="1:9" ht="14" x14ac:dyDescent="0.15">
      <c r="A7" s="7">
        <v>5.01</v>
      </c>
      <c r="B7" s="33" t="s">
        <v>743</v>
      </c>
      <c r="C7" s="41" t="s">
        <v>541</v>
      </c>
      <c r="D7" s="41" t="s">
        <v>542</v>
      </c>
      <c r="E7" s="48" t="s">
        <v>76</v>
      </c>
      <c r="F7" s="48">
        <v>1</v>
      </c>
      <c r="G7" s="10">
        <v>35</v>
      </c>
      <c r="H7" s="10">
        <f>SUM(F7*G7)</f>
        <v>35</v>
      </c>
      <c r="I7" s="5"/>
    </row>
    <row r="8" spans="1:9" x14ac:dyDescent="0.15">
      <c r="B8" s="33"/>
      <c r="C8" s="41"/>
      <c r="D8" s="41"/>
      <c r="E8" s="48"/>
      <c r="F8" s="48"/>
      <c r="H8" s="10"/>
      <c r="I8" s="5"/>
    </row>
    <row r="9" spans="1:9" ht="28" x14ac:dyDescent="0.15">
      <c r="A9" s="7">
        <v>5.0199999999999996</v>
      </c>
      <c r="B9" s="31" t="s">
        <v>747</v>
      </c>
      <c r="C9" s="38" t="s">
        <v>796</v>
      </c>
      <c r="D9" s="38" t="s">
        <v>538</v>
      </c>
      <c r="E9" s="48" t="s">
        <v>76</v>
      </c>
      <c r="F9" s="48">
        <v>7</v>
      </c>
      <c r="G9" s="49">
        <v>15</v>
      </c>
      <c r="H9" s="10">
        <f>SUM(F9*G9)</f>
        <v>105</v>
      </c>
      <c r="I9" s="5"/>
    </row>
    <row r="10" spans="1:9" x14ac:dyDescent="0.15">
      <c r="B10" s="31"/>
      <c r="C10" s="38"/>
      <c r="D10" s="38"/>
      <c r="E10" s="48"/>
      <c r="F10" s="48"/>
      <c r="G10" s="49"/>
      <c r="H10" s="10"/>
      <c r="I10" s="5"/>
    </row>
    <row r="11" spans="1:9" ht="42" x14ac:dyDescent="0.15">
      <c r="A11" s="7">
        <v>5.03</v>
      </c>
      <c r="B11" s="33" t="s">
        <v>743</v>
      </c>
      <c r="C11" s="11" t="s">
        <v>532</v>
      </c>
      <c r="D11" s="11" t="s">
        <v>535</v>
      </c>
      <c r="E11" s="8" t="s">
        <v>8</v>
      </c>
      <c r="F11" s="8"/>
      <c r="H11" s="10">
        <v>300</v>
      </c>
      <c r="I11" s="5"/>
    </row>
    <row r="12" spans="1:9" x14ac:dyDescent="0.15">
      <c r="B12" s="31"/>
      <c r="C12" s="11"/>
      <c r="D12" s="11"/>
      <c r="F12" s="8"/>
      <c r="H12" s="10"/>
      <c r="I12" s="5"/>
    </row>
    <row r="13" spans="1:9" ht="28" x14ac:dyDescent="0.15">
      <c r="A13" s="7">
        <v>5.04</v>
      </c>
      <c r="B13" s="31" t="s">
        <v>745</v>
      </c>
      <c r="C13" s="11" t="s">
        <v>86</v>
      </c>
      <c r="D13" s="11" t="s">
        <v>546</v>
      </c>
      <c r="E13" s="8" t="s">
        <v>8</v>
      </c>
      <c r="F13" s="8"/>
      <c r="H13" s="10">
        <v>1500</v>
      </c>
      <c r="I13" s="5"/>
    </row>
    <row r="14" spans="1:9" x14ac:dyDescent="0.15">
      <c r="B14" s="31"/>
      <c r="C14" s="11"/>
      <c r="D14" s="11"/>
      <c r="F14" s="8"/>
      <c r="H14" s="10"/>
      <c r="I14" s="5"/>
    </row>
    <row r="15" spans="1:9" ht="14" x14ac:dyDescent="0.15">
      <c r="B15" s="11"/>
      <c r="C15" s="14" t="s">
        <v>558</v>
      </c>
      <c r="D15" s="11"/>
      <c r="F15" s="8"/>
      <c r="H15" s="10"/>
      <c r="I15" s="5"/>
    </row>
    <row r="16" spans="1:9" x14ac:dyDescent="0.15">
      <c r="B16" s="11"/>
      <c r="C16" s="14"/>
      <c r="D16" s="11"/>
      <c r="F16" s="8"/>
      <c r="H16" s="10"/>
      <c r="I16" s="5"/>
    </row>
    <row r="17" spans="1:9" ht="42" x14ac:dyDescent="0.15">
      <c r="A17" s="7">
        <v>5.05</v>
      </c>
      <c r="B17" s="31" t="s">
        <v>747</v>
      </c>
      <c r="C17" s="38" t="s">
        <v>77</v>
      </c>
      <c r="D17" s="38" t="s">
        <v>15</v>
      </c>
      <c r="E17" s="48" t="s">
        <v>76</v>
      </c>
      <c r="F17" s="48">
        <v>5</v>
      </c>
      <c r="G17" s="49">
        <v>9</v>
      </c>
      <c r="H17" s="10">
        <f>SUM(F17*G17)</f>
        <v>45</v>
      </c>
      <c r="I17" s="5"/>
    </row>
    <row r="18" spans="1:9" x14ac:dyDescent="0.15">
      <c r="B18" s="31"/>
      <c r="C18" s="1"/>
      <c r="H18" s="10"/>
    </row>
    <row r="19" spans="1:9" ht="28" x14ac:dyDescent="0.15">
      <c r="A19" s="7">
        <v>5.0599999999999996</v>
      </c>
      <c r="B19" s="33" t="s">
        <v>743</v>
      </c>
      <c r="C19" s="38" t="s">
        <v>788</v>
      </c>
      <c r="D19" s="38" t="s">
        <v>145</v>
      </c>
      <c r="E19" s="50" t="s">
        <v>8</v>
      </c>
      <c r="F19" s="48"/>
      <c r="G19" s="10">
        <v>10</v>
      </c>
      <c r="H19" s="10">
        <v>30</v>
      </c>
      <c r="I19" s="5"/>
    </row>
    <row r="20" spans="1:9" x14ac:dyDescent="0.15">
      <c r="I20" s="5"/>
    </row>
    <row r="21" spans="1:9" ht="28" x14ac:dyDescent="0.15">
      <c r="A21" s="7">
        <v>5.07</v>
      </c>
      <c r="B21" s="33" t="s">
        <v>743</v>
      </c>
      <c r="C21" s="11"/>
      <c r="D21" s="11" t="s">
        <v>531</v>
      </c>
      <c r="E21" s="8" t="s">
        <v>10</v>
      </c>
      <c r="F21" s="8">
        <v>2</v>
      </c>
      <c r="G21" s="10">
        <v>20</v>
      </c>
      <c r="H21" s="10">
        <f>SUM(F21*G21)</f>
        <v>40</v>
      </c>
      <c r="I21" s="5"/>
    </row>
    <row r="22" spans="1:9" x14ac:dyDescent="0.15">
      <c r="B22" s="31"/>
      <c r="C22" s="11"/>
      <c r="D22" s="11"/>
      <c r="F22" s="8"/>
      <c r="H22" s="10"/>
      <c r="I22" s="5"/>
    </row>
    <row r="23" spans="1:9" ht="28" x14ac:dyDescent="0.15">
      <c r="A23" s="7">
        <v>5.08</v>
      </c>
      <c r="B23" s="31" t="s">
        <v>747</v>
      </c>
      <c r="C23" s="38" t="s">
        <v>536</v>
      </c>
      <c r="D23" s="38" t="s">
        <v>14</v>
      </c>
      <c r="E23" s="48" t="s">
        <v>76</v>
      </c>
      <c r="F23" s="48">
        <v>10</v>
      </c>
      <c r="G23" s="10">
        <v>8</v>
      </c>
      <c r="H23" s="10">
        <f>SUM(F23*G23)</f>
        <v>80</v>
      </c>
      <c r="I23" s="5"/>
    </row>
    <row r="24" spans="1:9" x14ac:dyDescent="0.15">
      <c r="B24" s="31"/>
      <c r="C24" s="38"/>
      <c r="D24" s="38"/>
      <c r="E24" s="48"/>
      <c r="F24" s="48"/>
      <c r="H24" s="10"/>
      <c r="I24" s="5"/>
    </row>
    <row r="25" spans="1:9" ht="28" x14ac:dyDescent="0.15">
      <c r="A25" s="7">
        <v>5.09</v>
      </c>
      <c r="B25" s="33" t="s">
        <v>743</v>
      </c>
      <c r="C25" s="38" t="s">
        <v>533</v>
      </c>
      <c r="D25" s="38" t="s">
        <v>534</v>
      </c>
      <c r="E25" s="50" t="s">
        <v>8</v>
      </c>
      <c r="F25" s="48"/>
      <c r="H25" s="10">
        <v>300</v>
      </c>
      <c r="I25" s="5"/>
    </row>
    <row r="26" spans="1:9" x14ac:dyDescent="0.15">
      <c r="B26" s="31"/>
      <c r="C26" s="38"/>
      <c r="D26" s="38"/>
      <c r="E26" s="48"/>
      <c r="F26" s="48"/>
      <c r="H26" s="10"/>
      <c r="I26" s="5"/>
    </row>
    <row r="27" spans="1:9" ht="28" x14ac:dyDescent="0.15">
      <c r="A27" s="7">
        <v>5.0999999999999996</v>
      </c>
      <c r="B27" s="31" t="s">
        <v>747</v>
      </c>
      <c r="C27" s="11" t="s">
        <v>556</v>
      </c>
      <c r="D27" s="11" t="s">
        <v>539</v>
      </c>
      <c r="E27" s="8" t="s">
        <v>11</v>
      </c>
      <c r="F27" s="8">
        <v>5</v>
      </c>
      <c r="G27" s="10">
        <v>10</v>
      </c>
      <c r="H27" s="10">
        <f>SUM(F27*G27)</f>
        <v>50</v>
      </c>
      <c r="I27" s="5"/>
    </row>
    <row r="28" spans="1:9" x14ac:dyDescent="0.15">
      <c r="B28" s="31"/>
      <c r="C28" s="11"/>
      <c r="D28" s="11"/>
      <c r="F28" s="8"/>
      <c r="H28" s="10"/>
      <c r="I28" s="5"/>
    </row>
    <row r="29" spans="1:9" s="5" customFormat="1" ht="28" x14ac:dyDescent="0.15">
      <c r="A29" s="7">
        <v>5.1100000000000003</v>
      </c>
      <c r="B29" s="33" t="s">
        <v>743</v>
      </c>
      <c r="C29" s="11" t="s">
        <v>79</v>
      </c>
      <c r="D29" s="11" t="s">
        <v>540</v>
      </c>
      <c r="E29" s="48" t="s">
        <v>76</v>
      </c>
      <c r="F29" s="8">
        <v>4</v>
      </c>
      <c r="G29" s="10">
        <v>15</v>
      </c>
      <c r="H29" s="10">
        <f>SUM(F29*G29)</f>
        <v>60</v>
      </c>
    </row>
    <row r="30" spans="1:9" s="5" customFormat="1" x14ac:dyDescent="0.15">
      <c r="A30" s="7"/>
      <c r="B30" s="31"/>
      <c r="C30" s="11"/>
      <c r="D30" s="11"/>
      <c r="E30" s="8"/>
      <c r="F30" s="8"/>
      <c r="G30" s="10"/>
      <c r="H30" s="10"/>
    </row>
    <row r="31" spans="1:9" s="5" customFormat="1" ht="28" x14ac:dyDescent="0.15">
      <c r="A31" s="7">
        <v>5.12</v>
      </c>
      <c r="B31" s="31" t="s">
        <v>747</v>
      </c>
      <c r="C31" s="11" t="s">
        <v>543</v>
      </c>
      <c r="D31" s="11" t="s">
        <v>544</v>
      </c>
      <c r="E31" s="8" t="s">
        <v>10</v>
      </c>
      <c r="F31" s="8">
        <v>1</v>
      </c>
      <c r="G31" s="10">
        <v>75</v>
      </c>
      <c r="H31" s="10">
        <v>75</v>
      </c>
    </row>
    <row r="32" spans="1:9" s="5" customFormat="1" x14ac:dyDescent="0.15">
      <c r="A32" s="7"/>
      <c r="B32" s="31"/>
      <c r="C32" s="11"/>
      <c r="D32" s="11"/>
      <c r="E32" s="8"/>
      <c r="F32" s="8"/>
      <c r="G32" s="10"/>
      <c r="H32" s="10"/>
    </row>
    <row r="33" spans="1:9" s="5" customFormat="1" ht="14" x14ac:dyDescent="0.15">
      <c r="A33" s="7">
        <v>5.13</v>
      </c>
      <c r="B33" s="31" t="s">
        <v>746</v>
      </c>
      <c r="C33" s="11" t="s">
        <v>545</v>
      </c>
      <c r="D33" s="11" t="s">
        <v>85</v>
      </c>
      <c r="E33" s="8" t="s">
        <v>10</v>
      </c>
      <c r="F33" s="8">
        <v>2</v>
      </c>
      <c r="G33" s="10">
        <v>10</v>
      </c>
      <c r="H33" s="10">
        <f>SUM(F33*G33)</f>
        <v>20</v>
      </c>
    </row>
    <row r="34" spans="1:9" s="5" customFormat="1" x14ac:dyDescent="0.15">
      <c r="A34" s="7"/>
      <c r="B34" s="31"/>
      <c r="C34" s="11"/>
      <c r="D34" s="11"/>
      <c r="E34" s="8"/>
      <c r="F34" s="8"/>
      <c r="G34" s="10"/>
      <c r="H34" s="10"/>
    </row>
    <row r="35" spans="1:9" s="5" customFormat="1" ht="14" x14ac:dyDescent="0.15">
      <c r="A35" s="7">
        <v>5.14</v>
      </c>
      <c r="B35" s="33" t="s">
        <v>743</v>
      </c>
      <c r="C35" s="5" t="s">
        <v>17</v>
      </c>
      <c r="D35" s="5" t="s">
        <v>547</v>
      </c>
      <c r="E35" s="8" t="s">
        <v>10</v>
      </c>
      <c r="F35" s="9">
        <v>1</v>
      </c>
      <c r="G35" s="10">
        <v>10</v>
      </c>
      <c r="H35" s="10">
        <f>SUM(F35*G35)</f>
        <v>10</v>
      </c>
    </row>
    <row r="36" spans="1:9" s="5" customFormat="1" x14ac:dyDescent="0.15">
      <c r="A36" s="7"/>
      <c r="B36" s="31"/>
      <c r="C36" s="14"/>
      <c r="D36" s="11"/>
      <c r="E36" s="8"/>
      <c r="F36" s="8"/>
      <c r="G36" s="10"/>
      <c r="H36" s="10"/>
    </row>
    <row r="37" spans="1:9" s="5" customFormat="1" ht="29.5" customHeight="1" x14ac:dyDescent="0.15">
      <c r="A37" s="7">
        <v>5.15</v>
      </c>
      <c r="B37" s="31" t="s">
        <v>745</v>
      </c>
      <c r="C37" s="56" t="s">
        <v>548</v>
      </c>
      <c r="D37" s="38" t="s">
        <v>560</v>
      </c>
      <c r="E37" s="48" t="s">
        <v>8</v>
      </c>
      <c r="F37" s="8"/>
      <c r="G37" s="10"/>
      <c r="H37" s="10">
        <v>100</v>
      </c>
    </row>
    <row r="38" spans="1:9" s="5" customFormat="1" x14ac:dyDescent="0.15">
      <c r="A38" s="7"/>
      <c r="B38" s="31"/>
      <c r="C38" s="11"/>
      <c r="D38" s="11"/>
      <c r="E38" s="8"/>
      <c r="F38" s="8"/>
      <c r="G38" s="10"/>
      <c r="H38" s="10"/>
    </row>
    <row r="39" spans="1:9" s="5" customFormat="1" ht="14" x14ac:dyDescent="0.15">
      <c r="A39" s="7"/>
      <c r="B39" s="31"/>
      <c r="C39" s="14" t="s">
        <v>797</v>
      </c>
      <c r="D39" s="11"/>
      <c r="E39" s="8"/>
      <c r="F39" s="8"/>
      <c r="G39" s="10"/>
      <c r="H39" s="10"/>
    </row>
    <row r="40" spans="1:9" s="5" customFormat="1" x14ac:dyDescent="0.15">
      <c r="A40" s="7"/>
      <c r="B40" s="31"/>
      <c r="C40" s="11"/>
      <c r="D40" s="11"/>
      <c r="E40" s="8"/>
      <c r="F40" s="8"/>
      <c r="G40" s="10"/>
      <c r="H40" s="10"/>
    </row>
    <row r="41" spans="1:9" s="5" customFormat="1" ht="56" x14ac:dyDescent="0.15">
      <c r="A41" s="7">
        <v>5.16</v>
      </c>
      <c r="B41" s="31" t="s">
        <v>747</v>
      </c>
      <c r="C41" s="38" t="s">
        <v>551</v>
      </c>
      <c r="D41" s="38" t="s">
        <v>549</v>
      </c>
      <c r="E41" s="48" t="s">
        <v>76</v>
      </c>
      <c r="F41" s="48">
        <v>11</v>
      </c>
      <c r="G41" s="49">
        <v>10</v>
      </c>
      <c r="H41" s="10">
        <f>SUM(F41*G41)</f>
        <v>110</v>
      </c>
    </row>
    <row r="42" spans="1:9" x14ac:dyDescent="0.15">
      <c r="B42" s="31"/>
      <c r="C42" s="14"/>
      <c r="D42" s="11"/>
      <c r="F42" s="8"/>
      <c r="H42" s="10"/>
      <c r="I42" s="5"/>
    </row>
    <row r="43" spans="1:9" ht="28" x14ac:dyDescent="0.15">
      <c r="A43" s="7">
        <v>5.17</v>
      </c>
      <c r="B43" s="33" t="s">
        <v>743</v>
      </c>
      <c r="C43" s="38" t="s">
        <v>633</v>
      </c>
      <c r="D43" s="38" t="s">
        <v>16</v>
      </c>
      <c r="E43" s="50" t="s">
        <v>10</v>
      </c>
      <c r="F43" s="48">
        <v>5</v>
      </c>
      <c r="G43" s="10">
        <v>10</v>
      </c>
      <c r="H43" s="10">
        <f>SUM(F43*G43)</f>
        <v>50</v>
      </c>
      <c r="I43" s="5"/>
    </row>
    <row r="44" spans="1:9" x14ac:dyDescent="0.15">
      <c r="B44" s="31"/>
      <c r="C44" s="11"/>
      <c r="D44" s="11"/>
      <c r="F44" s="8"/>
      <c r="H44" s="10"/>
      <c r="I44" s="5"/>
    </row>
    <row r="45" spans="1:9" ht="14" x14ac:dyDescent="0.15">
      <c r="A45" s="7">
        <v>5.18</v>
      </c>
      <c r="B45" s="33" t="s">
        <v>743</v>
      </c>
      <c r="C45" s="11"/>
      <c r="D45" s="11" t="s">
        <v>87</v>
      </c>
      <c r="E45" s="8" t="s">
        <v>10</v>
      </c>
      <c r="F45" s="8">
        <v>5</v>
      </c>
      <c r="G45" s="10">
        <v>80</v>
      </c>
      <c r="H45" s="10">
        <f>SUM(F45*G45)</f>
        <v>400</v>
      </c>
      <c r="I45" s="5"/>
    </row>
    <row r="46" spans="1:9" x14ac:dyDescent="0.15">
      <c r="B46" s="31"/>
      <c r="C46" s="11"/>
      <c r="D46" s="11"/>
      <c r="F46" s="8"/>
      <c r="H46" s="10"/>
      <c r="I46" s="5"/>
    </row>
    <row r="47" spans="1:9" ht="28" x14ac:dyDescent="0.15">
      <c r="A47" s="7">
        <v>5.19</v>
      </c>
      <c r="B47" s="31" t="s">
        <v>747</v>
      </c>
      <c r="C47" s="11" t="s">
        <v>88</v>
      </c>
      <c r="D47" s="11" t="s">
        <v>89</v>
      </c>
      <c r="E47" s="8" t="s">
        <v>11</v>
      </c>
      <c r="F47" s="8">
        <v>10</v>
      </c>
      <c r="G47" s="10">
        <v>12</v>
      </c>
      <c r="H47" s="10">
        <f>SUM(F47*G47)</f>
        <v>120</v>
      </c>
      <c r="I47" s="5"/>
    </row>
    <row r="48" spans="1:9" x14ac:dyDescent="0.15">
      <c r="B48" s="31"/>
      <c r="C48" s="11"/>
      <c r="D48" s="11"/>
      <c r="F48" s="8"/>
      <c r="H48" s="10"/>
      <c r="I48" s="5"/>
    </row>
    <row r="49" spans="1:9" ht="56" x14ac:dyDescent="0.15">
      <c r="A49" s="7">
        <v>5.2</v>
      </c>
      <c r="B49" s="31" t="s">
        <v>747</v>
      </c>
      <c r="C49" s="38" t="s">
        <v>550</v>
      </c>
      <c r="D49" s="38" t="s">
        <v>549</v>
      </c>
      <c r="E49" s="48" t="s">
        <v>76</v>
      </c>
      <c r="F49" s="48">
        <v>24</v>
      </c>
      <c r="G49" s="10">
        <v>9</v>
      </c>
      <c r="H49" s="10">
        <f>SUM(F49*G49)</f>
        <v>216</v>
      </c>
      <c r="I49" s="5"/>
    </row>
    <row r="50" spans="1:9" x14ac:dyDescent="0.15">
      <c r="B50" s="31"/>
      <c r="C50" s="11"/>
      <c r="D50" s="11"/>
      <c r="F50" s="8"/>
      <c r="H50" s="10"/>
      <c r="I50" s="5"/>
    </row>
    <row r="51" spans="1:9" ht="28" x14ac:dyDescent="0.15">
      <c r="A51" s="7">
        <v>5.21</v>
      </c>
      <c r="B51" s="31" t="s">
        <v>747</v>
      </c>
      <c r="C51" s="11" t="s">
        <v>78</v>
      </c>
      <c r="D51" s="11" t="s">
        <v>789</v>
      </c>
      <c r="E51" s="8" t="s">
        <v>11</v>
      </c>
      <c r="F51" s="8">
        <v>8</v>
      </c>
      <c r="G51" s="10">
        <v>5</v>
      </c>
      <c r="H51" s="10">
        <f>SUM(F51*G51)</f>
        <v>40</v>
      </c>
      <c r="I51" s="5"/>
    </row>
    <row r="52" spans="1:9" x14ac:dyDescent="0.15">
      <c r="B52" s="33"/>
      <c r="C52" s="11"/>
      <c r="D52" s="11"/>
      <c r="F52" s="8"/>
      <c r="H52" s="36"/>
      <c r="I52" s="5"/>
    </row>
    <row r="53" spans="1:9" ht="14" x14ac:dyDescent="0.15">
      <c r="A53" s="7">
        <v>5.22</v>
      </c>
      <c r="B53" s="33" t="s">
        <v>743</v>
      </c>
      <c r="C53" s="41" t="s">
        <v>53</v>
      </c>
      <c r="D53" s="38" t="s">
        <v>90</v>
      </c>
      <c r="E53" s="48" t="s">
        <v>76</v>
      </c>
      <c r="F53" s="48">
        <v>10</v>
      </c>
      <c r="G53" s="49">
        <v>48</v>
      </c>
      <c r="H53" s="10">
        <f>SUM(F53*G53)</f>
        <v>480</v>
      </c>
      <c r="I53" s="5"/>
    </row>
    <row r="54" spans="1:9" x14ac:dyDescent="0.15">
      <c r="B54" s="31"/>
      <c r="C54" s="11"/>
      <c r="D54" s="11"/>
      <c r="F54" s="8"/>
      <c r="H54" s="10"/>
      <c r="I54" s="5"/>
    </row>
    <row r="55" spans="1:9" ht="42" x14ac:dyDescent="0.15">
      <c r="A55" s="7">
        <v>5.23</v>
      </c>
      <c r="B55" s="31" t="s">
        <v>747</v>
      </c>
      <c r="C55" s="38" t="s">
        <v>552</v>
      </c>
      <c r="D55" s="38" t="s">
        <v>553</v>
      </c>
      <c r="E55" s="42" t="s">
        <v>11</v>
      </c>
      <c r="F55" s="42">
        <v>7</v>
      </c>
      <c r="G55" s="10">
        <v>75</v>
      </c>
      <c r="H55" s="10">
        <f>SUM(F55*G55)</f>
        <v>525</v>
      </c>
      <c r="I55" s="5"/>
    </row>
    <row r="56" spans="1:9" x14ac:dyDescent="0.15">
      <c r="B56" s="31"/>
      <c r="C56" s="11"/>
      <c r="D56" s="11"/>
      <c r="F56" s="8"/>
      <c r="H56" s="10"/>
      <c r="I56" s="5"/>
    </row>
    <row r="57" spans="1:9" ht="28" x14ac:dyDescent="0.15">
      <c r="A57" s="7">
        <v>5.24</v>
      </c>
      <c r="B57" s="31" t="s">
        <v>747</v>
      </c>
      <c r="C57" s="38" t="s">
        <v>559</v>
      </c>
      <c r="D57" s="38" t="s">
        <v>647</v>
      </c>
      <c r="E57" s="48" t="s">
        <v>30</v>
      </c>
      <c r="F57" s="42"/>
      <c r="H57" s="10">
        <v>500</v>
      </c>
    </row>
    <row r="58" spans="1:9" x14ac:dyDescent="0.15">
      <c r="B58" s="31"/>
      <c r="C58" s="11"/>
      <c r="D58" s="11"/>
      <c r="H58" s="10"/>
    </row>
    <row r="59" spans="1:9" ht="28" x14ac:dyDescent="0.15">
      <c r="A59" s="7">
        <v>5.25</v>
      </c>
      <c r="B59" s="31" t="s">
        <v>747</v>
      </c>
      <c r="C59" s="11" t="s">
        <v>555</v>
      </c>
      <c r="D59" s="11" t="s">
        <v>798</v>
      </c>
      <c r="E59" s="8" t="s">
        <v>10</v>
      </c>
      <c r="F59" s="34">
        <v>4</v>
      </c>
      <c r="G59" s="10">
        <v>120</v>
      </c>
      <c r="H59" s="10">
        <f>SUM(F59*G59)</f>
        <v>480</v>
      </c>
    </row>
    <row r="60" spans="1:9" x14ac:dyDescent="0.15">
      <c r="B60" s="31"/>
      <c r="C60" s="11"/>
      <c r="D60" s="11"/>
      <c r="H60" s="10"/>
    </row>
    <row r="61" spans="1:9" ht="14" x14ac:dyDescent="0.15">
      <c r="A61" s="7">
        <v>5.26</v>
      </c>
      <c r="B61" s="33" t="s">
        <v>743</v>
      </c>
      <c r="C61" s="5" t="s">
        <v>17</v>
      </c>
      <c r="D61" s="5" t="s">
        <v>547</v>
      </c>
      <c r="E61" s="8" t="s">
        <v>10</v>
      </c>
      <c r="F61" s="9">
        <v>1</v>
      </c>
      <c r="G61" s="10">
        <v>10</v>
      </c>
      <c r="H61" s="10">
        <f>SUM(F61*G61)</f>
        <v>10</v>
      </c>
    </row>
    <row r="62" spans="1:9" x14ac:dyDescent="0.15">
      <c r="B62" s="31"/>
      <c r="C62" s="11"/>
      <c r="D62" s="11"/>
      <c r="F62" s="8"/>
      <c r="H62" s="10"/>
    </row>
    <row r="63" spans="1:9" ht="14" x14ac:dyDescent="0.15">
      <c r="A63" s="7">
        <v>5.27</v>
      </c>
      <c r="B63" s="33" t="s">
        <v>743</v>
      </c>
      <c r="C63" s="11" t="s">
        <v>13</v>
      </c>
      <c r="D63" s="11" t="s">
        <v>554</v>
      </c>
      <c r="E63" s="8" t="s">
        <v>10</v>
      </c>
      <c r="F63" s="34">
        <v>1</v>
      </c>
      <c r="G63" s="10">
        <v>10</v>
      </c>
      <c r="H63" s="10">
        <f>SUM(F63*G63)</f>
        <v>10</v>
      </c>
    </row>
    <row r="64" spans="1:9" x14ac:dyDescent="0.15">
      <c r="B64" s="31"/>
      <c r="C64" s="11"/>
      <c r="D64" s="11"/>
      <c r="F64" s="8"/>
      <c r="H64" s="10"/>
    </row>
    <row r="65" spans="1:8" ht="14" x14ac:dyDescent="0.15">
      <c r="A65" s="7">
        <v>5.28</v>
      </c>
      <c r="B65" s="31" t="s">
        <v>745</v>
      </c>
      <c r="C65" s="51" t="s">
        <v>83</v>
      </c>
      <c r="D65" s="51" t="s">
        <v>84</v>
      </c>
      <c r="E65" s="48" t="s">
        <v>8</v>
      </c>
      <c r="F65" s="34"/>
      <c r="H65" s="10" t="s">
        <v>26</v>
      </c>
    </row>
    <row r="66" spans="1:8" x14ac:dyDescent="0.15">
      <c r="B66" s="31"/>
      <c r="C66" s="11"/>
      <c r="D66" s="11"/>
      <c r="F66" s="34"/>
      <c r="H66" s="10"/>
    </row>
    <row r="67" spans="1:8" ht="14" x14ac:dyDescent="0.15">
      <c r="B67" s="31"/>
      <c r="C67" s="14" t="s">
        <v>565</v>
      </c>
      <c r="D67" s="11"/>
      <c r="F67" s="8"/>
      <c r="H67" s="10"/>
    </row>
    <row r="68" spans="1:8" x14ac:dyDescent="0.15">
      <c r="B68" s="31"/>
      <c r="C68" s="11"/>
      <c r="D68" s="11"/>
      <c r="F68" s="8"/>
      <c r="H68" s="10"/>
    </row>
    <row r="69" spans="1:8" ht="14" x14ac:dyDescent="0.15">
      <c r="A69" s="7">
        <v>5.29</v>
      </c>
      <c r="B69" s="33" t="s">
        <v>743</v>
      </c>
      <c r="C69" s="11" t="s">
        <v>562</v>
      </c>
      <c r="D69" s="11" t="s">
        <v>563</v>
      </c>
      <c r="F69" s="8"/>
      <c r="H69" s="10" t="s">
        <v>26</v>
      </c>
    </row>
    <row r="70" spans="1:8" x14ac:dyDescent="0.15">
      <c r="B70" s="31"/>
      <c r="C70" s="11"/>
      <c r="D70" s="11"/>
      <c r="F70" s="8"/>
      <c r="H70" s="10"/>
    </row>
    <row r="71" spans="1:8" ht="42" x14ac:dyDescent="0.15">
      <c r="A71" s="7">
        <v>5.3</v>
      </c>
      <c r="B71" s="31" t="s">
        <v>747</v>
      </c>
      <c r="C71" s="38" t="s">
        <v>245</v>
      </c>
      <c r="D71" s="38" t="s">
        <v>15</v>
      </c>
      <c r="E71" s="48" t="s">
        <v>76</v>
      </c>
      <c r="F71" s="48">
        <v>2</v>
      </c>
      <c r="G71" s="49">
        <v>5</v>
      </c>
      <c r="H71" s="10">
        <f>SUM(F71*G71)</f>
        <v>10</v>
      </c>
    </row>
    <row r="72" spans="1:8" x14ac:dyDescent="0.15">
      <c r="B72" s="31"/>
      <c r="C72" s="38"/>
      <c r="D72" s="38"/>
      <c r="E72" s="48"/>
      <c r="F72" s="48"/>
      <c r="G72" s="49"/>
      <c r="H72" s="10"/>
    </row>
    <row r="73" spans="1:8" ht="28" x14ac:dyDescent="0.15">
      <c r="A73" s="7">
        <v>5.31</v>
      </c>
      <c r="B73" s="33" t="s">
        <v>743</v>
      </c>
      <c r="C73" s="38" t="s">
        <v>564</v>
      </c>
      <c r="D73" s="38" t="s">
        <v>95</v>
      </c>
      <c r="E73" s="50" t="s">
        <v>8</v>
      </c>
      <c r="F73" s="48"/>
      <c r="G73" s="49"/>
      <c r="H73" s="10">
        <v>150</v>
      </c>
    </row>
    <row r="74" spans="1:8" x14ac:dyDescent="0.15">
      <c r="B74" s="31"/>
      <c r="C74" s="11"/>
      <c r="D74" s="11"/>
      <c r="F74" s="8"/>
      <c r="H74" s="10"/>
    </row>
    <row r="75" spans="1:8" ht="28" x14ac:dyDescent="0.15">
      <c r="A75" s="7">
        <v>5.32</v>
      </c>
      <c r="B75" s="31" t="s">
        <v>747</v>
      </c>
      <c r="C75" s="11" t="s">
        <v>567</v>
      </c>
      <c r="D75" s="11" t="s">
        <v>566</v>
      </c>
      <c r="E75" s="48" t="s">
        <v>76</v>
      </c>
      <c r="F75" s="8">
        <v>8</v>
      </c>
      <c r="G75" s="10">
        <v>8</v>
      </c>
      <c r="H75" s="10">
        <f>SUM(F75*G75)</f>
        <v>64</v>
      </c>
    </row>
    <row r="76" spans="1:8" x14ac:dyDescent="0.15">
      <c r="B76" s="31"/>
      <c r="C76" s="11"/>
      <c r="D76" s="11"/>
      <c r="F76" s="8"/>
      <c r="H76" s="10"/>
    </row>
    <row r="77" spans="1:8" ht="28" x14ac:dyDescent="0.15">
      <c r="A77" s="7">
        <v>5.33</v>
      </c>
      <c r="B77" s="33" t="s">
        <v>743</v>
      </c>
      <c r="C77" s="14"/>
      <c r="D77" s="11" t="s">
        <v>94</v>
      </c>
      <c r="E77" s="8" t="s">
        <v>8</v>
      </c>
      <c r="F77" s="8"/>
      <c r="H77" s="10">
        <v>300</v>
      </c>
    </row>
    <row r="78" spans="1:8" x14ac:dyDescent="0.15">
      <c r="B78" s="31"/>
      <c r="C78" s="11"/>
      <c r="D78" s="11"/>
      <c r="F78" s="8"/>
      <c r="H78" s="10"/>
    </row>
    <row r="79" spans="1:8" ht="28" x14ac:dyDescent="0.15">
      <c r="A79" s="7">
        <v>5.34</v>
      </c>
      <c r="B79" s="33" t="s">
        <v>743</v>
      </c>
      <c r="C79" s="11" t="s">
        <v>790</v>
      </c>
      <c r="D79" s="11" t="s">
        <v>791</v>
      </c>
      <c r="E79" s="48" t="s">
        <v>76</v>
      </c>
      <c r="F79" s="8">
        <v>2</v>
      </c>
      <c r="G79" s="10">
        <v>8</v>
      </c>
      <c r="H79" s="10">
        <f>SUM(F79*G79)</f>
        <v>16</v>
      </c>
    </row>
    <row r="80" spans="1:8" x14ac:dyDescent="0.15">
      <c r="B80" s="31"/>
      <c r="C80" s="11"/>
      <c r="D80" s="11"/>
      <c r="F80" s="8"/>
      <c r="H80" s="10"/>
    </row>
    <row r="81" spans="1:8" ht="28" x14ac:dyDescent="0.15">
      <c r="A81" s="7">
        <v>5.35</v>
      </c>
      <c r="B81" s="31" t="s">
        <v>747</v>
      </c>
      <c r="C81" s="11" t="s">
        <v>582</v>
      </c>
      <c r="D81" s="11" t="s">
        <v>568</v>
      </c>
      <c r="E81" s="8" t="s">
        <v>10</v>
      </c>
      <c r="F81" s="8">
        <v>1</v>
      </c>
      <c r="G81" s="10">
        <v>75</v>
      </c>
      <c r="H81" s="10">
        <v>75</v>
      </c>
    </row>
    <row r="82" spans="1:8" x14ac:dyDescent="0.15">
      <c r="B82" s="31"/>
      <c r="C82" s="11"/>
      <c r="D82" s="11"/>
      <c r="H82" s="10"/>
    </row>
    <row r="83" spans="1:8" ht="14" x14ac:dyDescent="0.15">
      <c r="B83" s="31"/>
      <c r="C83" s="14" t="s">
        <v>21</v>
      </c>
      <c r="D83" s="11"/>
      <c r="H83" s="10"/>
    </row>
    <row r="84" spans="1:8" x14ac:dyDescent="0.15">
      <c r="B84" s="31"/>
      <c r="C84" s="11"/>
      <c r="D84" s="11"/>
      <c r="H84" s="10"/>
    </row>
    <row r="85" spans="1:8" ht="42" x14ac:dyDescent="0.15">
      <c r="A85" s="7">
        <v>5.36</v>
      </c>
      <c r="B85" s="31" t="s">
        <v>747</v>
      </c>
      <c r="C85" s="38" t="s">
        <v>569</v>
      </c>
      <c r="D85" s="38" t="s">
        <v>96</v>
      </c>
      <c r="E85" s="48" t="s">
        <v>76</v>
      </c>
      <c r="F85" s="48">
        <v>17</v>
      </c>
      <c r="G85" s="49">
        <v>9</v>
      </c>
      <c r="H85" s="10">
        <f>SUM(F85*G85)</f>
        <v>153</v>
      </c>
    </row>
    <row r="86" spans="1:8" x14ac:dyDescent="0.15">
      <c r="B86" s="33"/>
      <c r="C86" s="11"/>
      <c r="D86" s="11"/>
      <c r="F86" s="8"/>
      <c r="H86" s="10"/>
    </row>
    <row r="87" spans="1:8" ht="28" x14ac:dyDescent="0.15">
      <c r="A87" s="7">
        <v>5.37</v>
      </c>
      <c r="B87" s="33" t="s">
        <v>743</v>
      </c>
      <c r="C87" s="41" t="s">
        <v>97</v>
      </c>
      <c r="D87" s="52" t="s">
        <v>98</v>
      </c>
      <c r="E87" s="48" t="s">
        <v>10</v>
      </c>
      <c r="F87" s="48">
        <v>1</v>
      </c>
      <c r="G87" s="53">
        <v>10</v>
      </c>
      <c r="H87" s="10">
        <f>SUM(F87*G87)</f>
        <v>10</v>
      </c>
    </row>
    <row r="88" spans="1:8" x14ac:dyDescent="0.15">
      <c r="B88" s="31"/>
      <c r="C88" s="11"/>
      <c r="D88" s="11"/>
      <c r="F88" s="34"/>
      <c r="H88" s="10"/>
    </row>
    <row r="89" spans="1:8" ht="28" x14ac:dyDescent="0.15">
      <c r="A89" s="7">
        <v>5.38</v>
      </c>
      <c r="B89" s="31" t="s">
        <v>747</v>
      </c>
      <c r="C89" s="11" t="s">
        <v>99</v>
      </c>
      <c r="D89" s="11" t="s">
        <v>100</v>
      </c>
      <c r="E89" s="8" t="s">
        <v>8</v>
      </c>
      <c r="F89" s="8"/>
      <c r="H89" s="10">
        <v>180</v>
      </c>
    </row>
    <row r="90" spans="1:8" x14ac:dyDescent="0.15">
      <c r="B90" s="31"/>
      <c r="C90" s="11"/>
      <c r="D90" s="11"/>
      <c r="F90" s="8"/>
      <c r="H90" s="10"/>
    </row>
    <row r="91" spans="1:8" ht="28" x14ac:dyDescent="0.15">
      <c r="A91" s="7">
        <v>5.39</v>
      </c>
      <c r="B91" s="31" t="s">
        <v>747</v>
      </c>
      <c r="C91" s="11" t="s">
        <v>570</v>
      </c>
      <c r="D91" s="11" t="s">
        <v>104</v>
      </c>
      <c r="E91" s="8" t="s">
        <v>11</v>
      </c>
      <c r="F91" s="8">
        <v>8</v>
      </c>
      <c r="G91" s="10">
        <v>12</v>
      </c>
      <c r="H91" s="10">
        <f>SUM(F91*G91)</f>
        <v>96</v>
      </c>
    </row>
    <row r="92" spans="1:8" x14ac:dyDescent="0.15">
      <c r="B92" s="31"/>
      <c r="C92" s="11"/>
      <c r="D92" s="11"/>
      <c r="F92" s="8"/>
      <c r="H92" s="10"/>
    </row>
    <row r="93" spans="1:8" ht="28" x14ac:dyDescent="0.15">
      <c r="A93" s="7">
        <v>5.4</v>
      </c>
      <c r="B93" s="31" t="s">
        <v>747</v>
      </c>
      <c r="C93" s="38" t="s">
        <v>101</v>
      </c>
      <c r="D93" s="38" t="s">
        <v>102</v>
      </c>
      <c r="E93" s="48" t="s">
        <v>76</v>
      </c>
      <c r="F93" s="48">
        <v>46</v>
      </c>
      <c r="G93" s="10">
        <v>8</v>
      </c>
      <c r="H93" s="10">
        <f>SUM(F93*G93)</f>
        <v>368</v>
      </c>
    </row>
    <row r="94" spans="1:8" x14ac:dyDescent="0.15">
      <c r="B94" s="31"/>
      <c r="C94" s="11"/>
      <c r="D94" s="11"/>
      <c r="F94" s="8"/>
      <c r="H94" s="10"/>
    </row>
    <row r="95" spans="1:8" ht="28" x14ac:dyDescent="0.15">
      <c r="A95" s="7">
        <v>5.41</v>
      </c>
      <c r="B95" s="31" t="s">
        <v>747</v>
      </c>
      <c r="C95" s="11" t="s">
        <v>556</v>
      </c>
      <c r="D95" s="11" t="s">
        <v>792</v>
      </c>
      <c r="E95" s="8" t="s">
        <v>11</v>
      </c>
      <c r="F95" s="8">
        <v>16</v>
      </c>
      <c r="G95" s="10">
        <v>5</v>
      </c>
      <c r="H95" s="10">
        <f>SUM(F95*G95)</f>
        <v>80</v>
      </c>
    </row>
    <row r="96" spans="1:8" x14ac:dyDescent="0.15">
      <c r="B96" s="31"/>
      <c r="C96" s="11"/>
      <c r="D96" s="11"/>
      <c r="F96" s="8"/>
      <c r="H96" s="10"/>
    </row>
    <row r="97" spans="1:8" ht="14" x14ac:dyDescent="0.15">
      <c r="A97" s="7">
        <v>5.42</v>
      </c>
      <c r="B97" s="33" t="s">
        <v>743</v>
      </c>
      <c r="C97" s="11" t="s">
        <v>105</v>
      </c>
      <c r="D97" s="11" t="s">
        <v>106</v>
      </c>
      <c r="E97" s="48" t="s">
        <v>76</v>
      </c>
      <c r="F97" s="8">
        <v>17</v>
      </c>
      <c r="G97" s="10">
        <v>5</v>
      </c>
      <c r="H97" s="10">
        <f>SUM(F97*G97)</f>
        <v>85</v>
      </c>
    </row>
    <row r="98" spans="1:8" x14ac:dyDescent="0.15">
      <c r="B98" s="31"/>
      <c r="C98" s="11"/>
      <c r="D98" s="11"/>
      <c r="F98" s="8"/>
      <c r="H98" s="10"/>
    </row>
    <row r="99" spans="1:8" ht="42" x14ac:dyDescent="0.15">
      <c r="A99" s="7">
        <v>5.43</v>
      </c>
      <c r="B99" s="31" t="s">
        <v>747</v>
      </c>
      <c r="C99" s="11" t="s">
        <v>571</v>
      </c>
      <c r="D99" s="11" t="s">
        <v>93</v>
      </c>
      <c r="E99" s="8" t="s">
        <v>10</v>
      </c>
      <c r="F99" s="34">
        <v>2</v>
      </c>
      <c r="G99" s="10">
        <v>120</v>
      </c>
      <c r="H99" s="10">
        <f>SUM(F99*G99)</f>
        <v>240</v>
      </c>
    </row>
    <row r="100" spans="1:8" x14ac:dyDescent="0.15">
      <c r="B100" s="31"/>
      <c r="C100" s="11"/>
      <c r="D100" s="11"/>
      <c r="F100" s="8"/>
      <c r="H100" s="10"/>
    </row>
    <row r="101" spans="1:8" ht="42" x14ac:dyDescent="0.15">
      <c r="A101" s="7">
        <v>5.44</v>
      </c>
      <c r="B101" s="31" t="s">
        <v>745</v>
      </c>
      <c r="C101" s="11" t="s">
        <v>107</v>
      </c>
      <c r="D101" s="11" t="s">
        <v>108</v>
      </c>
      <c r="E101" s="8" t="s">
        <v>8</v>
      </c>
      <c r="F101" s="8"/>
      <c r="H101" s="10">
        <v>200</v>
      </c>
    </row>
    <row r="102" spans="1:8" x14ac:dyDescent="0.15">
      <c r="B102" s="31"/>
      <c r="C102" s="14"/>
      <c r="D102" s="11"/>
      <c r="F102" s="8"/>
      <c r="H102" s="10"/>
    </row>
    <row r="103" spans="1:8" ht="28" x14ac:dyDescent="0.15">
      <c r="A103" s="7">
        <v>5.45</v>
      </c>
      <c r="B103" s="33" t="s">
        <v>745</v>
      </c>
      <c r="C103" s="38" t="s">
        <v>109</v>
      </c>
      <c r="D103" s="38" t="s">
        <v>110</v>
      </c>
      <c r="E103" s="48" t="s">
        <v>8</v>
      </c>
      <c r="F103" s="8"/>
      <c r="H103" s="10">
        <v>50</v>
      </c>
    </row>
    <row r="104" spans="1:8" x14ac:dyDescent="0.15">
      <c r="B104" s="31"/>
      <c r="C104" s="11"/>
      <c r="D104" s="11"/>
      <c r="F104" s="8"/>
      <c r="H104" s="10"/>
    </row>
    <row r="105" spans="1:8" ht="28" x14ac:dyDescent="0.15">
      <c r="A105" s="7">
        <v>5.46</v>
      </c>
      <c r="B105" s="33" t="s">
        <v>743</v>
      </c>
      <c r="C105" s="5" t="s">
        <v>17</v>
      </c>
      <c r="D105" s="5" t="s">
        <v>18</v>
      </c>
      <c r="E105" s="8" t="s">
        <v>10</v>
      </c>
      <c r="F105" s="9">
        <v>1</v>
      </c>
      <c r="G105" s="10">
        <v>10</v>
      </c>
      <c r="H105" s="10">
        <f>SUM(F105*G105)</f>
        <v>10</v>
      </c>
    </row>
    <row r="106" spans="1:8" x14ac:dyDescent="0.15">
      <c r="B106" s="31"/>
      <c r="C106" s="11"/>
      <c r="D106" s="11"/>
      <c r="F106" s="8"/>
      <c r="H106" s="10"/>
    </row>
    <row r="107" spans="1:8" ht="28" x14ac:dyDescent="0.15">
      <c r="A107" s="7">
        <v>5.47</v>
      </c>
      <c r="B107" s="33" t="s">
        <v>743</v>
      </c>
      <c r="C107" s="11" t="s">
        <v>111</v>
      </c>
      <c r="D107" s="11" t="s">
        <v>112</v>
      </c>
      <c r="E107" s="8" t="s">
        <v>8</v>
      </c>
      <c r="F107" s="8"/>
      <c r="H107" s="10">
        <v>60</v>
      </c>
    </row>
    <row r="108" spans="1:8" x14ac:dyDescent="0.15">
      <c r="B108" s="31"/>
      <c r="C108" s="11"/>
      <c r="D108" s="11"/>
      <c r="F108" s="8"/>
      <c r="H108" s="10"/>
    </row>
    <row r="109" spans="1:8" ht="28" x14ac:dyDescent="0.15">
      <c r="A109" s="7">
        <v>5.48</v>
      </c>
      <c r="B109" s="31" t="s">
        <v>747</v>
      </c>
      <c r="C109" s="11" t="s">
        <v>572</v>
      </c>
      <c r="D109" s="11" t="s">
        <v>113</v>
      </c>
      <c r="E109" s="8" t="s">
        <v>10</v>
      </c>
      <c r="F109" s="8">
        <v>1</v>
      </c>
      <c r="G109" s="10">
        <v>75</v>
      </c>
      <c r="H109" s="10">
        <f>SUM(F109*G109)</f>
        <v>75</v>
      </c>
    </row>
    <row r="110" spans="1:8" x14ac:dyDescent="0.15">
      <c r="B110" s="33"/>
      <c r="C110" s="11"/>
      <c r="D110" s="11"/>
      <c r="F110" s="8"/>
      <c r="H110" s="10"/>
    </row>
    <row r="111" spans="1:8" ht="28" x14ac:dyDescent="0.15">
      <c r="A111" s="7">
        <v>5.49</v>
      </c>
      <c r="B111" s="31" t="s">
        <v>747</v>
      </c>
      <c r="C111" s="11" t="s">
        <v>573</v>
      </c>
      <c r="D111" s="11" t="s">
        <v>114</v>
      </c>
      <c r="E111" s="8" t="s">
        <v>11</v>
      </c>
      <c r="F111" s="34">
        <v>6</v>
      </c>
      <c r="G111" s="10">
        <v>10</v>
      </c>
      <c r="H111" s="10">
        <f>SUM(F111*G111)</f>
        <v>60</v>
      </c>
    </row>
    <row r="112" spans="1:8" x14ac:dyDescent="0.15">
      <c r="B112" s="31"/>
      <c r="C112" s="11"/>
      <c r="D112" s="11"/>
      <c r="F112" s="8"/>
      <c r="H112" s="36"/>
    </row>
    <row r="113" spans="1:8" ht="14" x14ac:dyDescent="0.15">
      <c r="A113" s="3"/>
      <c r="B113" s="31"/>
      <c r="C113" s="14" t="s">
        <v>574</v>
      </c>
      <c r="D113" s="11"/>
      <c r="F113" s="8"/>
      <c r="H113" s="10"/>
    </row>
    <row r="114" spans="1:8" x14ac:dyDescent="0.15">
      <c r="B114" s="31"/>
      <c r="C114" s="11"/>
      <c r="D114" s="11"/>
      <c r="F114" s="8"/>
      <c r="H114" s="10"/>
    </row>
    <row r="115" spans="1:8" ht="42" x14ac:dyDescent="0.15">
      <c r="A115" s="7">
        <v>5.5</v>
      </c>
      <c r="B115" s="31" t="s">
        <v>747</v>
      </c>
      <c r="C115" s="38" t="s">
        <v>569</v>
      </c>
      <c r="D115" s="38" t="s">
        <v>96</v>
      </c>
      <c r="E115" s="48" t="s">
        <v>76</v>
      </c>
      <c r="F115" s="48">
        <v>10</v>
      </c>
      <c r="G115" s="49">
        <v>9</v>
      </c>
      <c r="H115" s="10">
        <f>SUM(F115*G115)</f>
        <v>90</v>
      </c>
    </row>
    <row r="116" spans="1:8" x14ac:dyDescent="0.15">
      <c r="B116" s="31"/>
      <c r="C116" s="11"/>
      <c r="D116" s="11"/>
      <c r="F116" s="8"/>
      <c r="H116" s="10"/>
    </row>
    <row r="117" spans="1:8" ht="28" x14ac:dyDescent="0.15">
      <c r="A117" s="7">
        <v>5.51</v>
      </c>
      <c r="B117" s="31" t="s">
        <v>747</v>
      </c>
      <c r="C117" s="11" t="s">
        <v>103</v>
      </c>
      <c r="D117" s="11" t="s">
        <v>104</v>
      </c>
      <c r="E117" s="8" t="s">
        <v>11</v>
      </c>
      <c r="F117" s="8">
        <v>4</v>
      </c>
      <c r="G117" s="10">
        <v>12</v>
      </c>
      <c r="H117" s="10">
        <f>SUM(F117*G117)</f>
        <v>48</v>
      </c>
    </row>
    <row r="118" spans="1:8" x14ac:dyDescent="0.15">
      <c r="B118" s="33"/>
      <c r="C118" s="11"/>
      <c r="D118" s="11"/>
      <c r="F118" s="8"/>
      <c r="H118" s="10"/>
    </row>
    <row r="119" spans="1:8" ht="28" x14ac:dyDescent="0.15">
      <c r="A119" s="7">
        <v>5.52</v>
      </c>
      <c r="B119" s="31" t="s">
        <v>747</v>
      </c>
      <c r="C119" s="38" t="s">
        <v>659</v>
      </c>
      <c r="D119" s="38" t="s">
        <v>102</v>
      </c>
      <c r="E119" s="48" t="s">
        <v>76</v>
      </c>
      <c r="F119" s="48">
        <v>15</v>
      </c>
      <c r="G119" s="10">
        <v>8</v>
      </c>
      <c r="H119" s="10">
        <f>SUM(F119*G119)</f>
        <v>120</v>
      </c>
    </row>
    <row r="120" spans="1:8" x14ac:dyDescent="0.15">
      <c r="B120" s="31"/>
      <c r="C120" s="11"/>
      <c r="D120" s="11"/>
      <c r="F120" s="8"/>
      <c r="H120" s="36"/>
    </row>
    <row r="121" spans="1:8" ht="28" x14ac:dyDescent="0.15">
      <c r="A121" s="7">
        <v>5.53</v>
      </c>
      <c r="B121" s="31" t="s">
        <v>747</v>
      </c>
      <c r="C121" s="11" t="s">
        <v>556</v>
      </c>
      <c r="D121" s="11" t="s">
        <v>792</v>
      </c>
      <c r="E121" s="8" t="s">
        <v>11</v>
      </c>
      <c r="F121" s="8">
        <v>11</v>
      </c>
      <c r="G121" s="10">
        <v>5</v>
      </c>
      <c r="H121" s="10">
        <f>SUM(F121*G121)</f>
        <v>55</v>
      </c>
    </row>
    <row r="122" spans="1:8" x14ac:dyDescent="0.15">
      <c r="B122" s="31"/>
      <c r="C122" s="11"/>
      <c r="D122" s="11"/>
      <c r="F122" s="8"/>
      <c r="H122" s="10"/>
    </row>
    <row r="123" spans="1:8" ht="28" x14ac:dyDescent="0.15">
      <c r="A123" s="7">
        <v>5.54</v>
      </c>
      <c r="B123" s="31" t="s">
        <v>746</v>
      </c>
      <c r="C123" s="11" t="s">
        <v>575</v>
      </c>
      <c r="D123" s="11" t="s">
        <v>577</v>
      </c>
      <c r="E123" s="8" t="s">
        <v>10</v>
      </c>
      <c r="F123" s="8">
        <v>3</v>
      </c>
      <c r="G123" s="10">
        <v>10</v>
      </c>
      <c r="H123" s="10">
        <f>SUM(F123*G123)</f>
        <v>30</v>
      </c>
    </row>
    <row r="124" spans="1:8" x14ac:dyDescent="0.15">
      <c r="B124" s="31"/>
      <c r="C124" s="11"/>
      <c r="D124" s="11"/>
      <c r="F124" s="8"/>
      <c r="H124" s="10"/>
    </row>
    <row r="125" spans="1:8" ht="28" x14ac:dyDescent="0.15">
      <c r="A125" s="7">
        <v>5.55</v>
      </c>
      <c r="B125" s="31" t="s">
        <v>747</v>
      </c>
      <c r="C125" s="11" t="s">
        <v>579</v>
      </c>
      <c r="D125" s="11" t="s">
        <v>578</v>
      </c>
      <c r="E125" s="8" t="s">
        <v>8</v>
      </c>
      <c r="F125" s="34"/>
      <c r="H125" s="10">
        <v>300</v>
      </c>
    </row>
    <row r="126" spans="1:8" x14ac:dyDescent="0.15">
      <c r="B126" s="31"/>
      <c r="C126" s="11"/>
      <c r="D126" s="11"/>
      <c r="F126" s="8"/>
      <c r="H126" s="10"/>
    </row>
    <row r="127" spans="1:8" ht="28" x14ac:dyDescent="0.15">
      <c r="A127" s="7">
        <v>5.56</v>
      </c>
      <c r="B127" s="33" t="s">
        <v>745</v>
      </c>
      <c r="C127" s="5" t="s">
        <v>118</v>
      </c>
      <c r="D127" s="5" t="s">
        <v>119</v>
      </c>
      <c r="E127" s="8" t="s">
        <v>8</v>
      </c>
      <c r="F127" s="8"/>
      <c r="H127" s="10">
        <v>100</v>
      </c>
    </row>
    <row r="128" spans="1:8" x14ac:dyDescent="0.15">
      <c r="B128" s="31"/>
      <c r="F128" s="8"/>
      <c r="H128" s="10"/>
    </row>
    <row r="129" spans="1:8" ht="14" x14ac:dyDescent="0.15">
      <c r="A129" s="7">
        <v>5.57</v>
      </c>
      <c r="B129" s="33" t="s">
        <v>743</v>
      </c>
      <c r="C129" s="5" t="s">
        <v>581</v>
      </c>
      <c r="D129" s="5" t="s">
        <v>547</v>
      </c>
      <c r="E129" s="8" t="s">
        <v>10</v>
      </c>
      <c r="F129" s="9">
        <v>1</v>
      </c>
      <c r="G129" s="10">
        <v>10</v>
      </c>
      <c r="H129" s="10">
        <f>SUM(F129*G129)</f>
        <v>10</v>
      </c>
    </row>
    <row r="130" spans="1:8" x14ac:dyDescent="0.15">
      <c r="B130" s="31"/>
      <c r="C130" s="11"/>
      <c r="D130" s="11"/>
      <c r="F130" s="8"/>
      <c r="H130" s="10"/>
    </row>
    <row r="131" spans="1:8" ht="28" x14ac:dyDescent="0.15">
      <c r="A131" s="7">
        <v>5.58</v>
      </c>
      <c r="B131" s="33" t="s">
        <v>743</v>
      </c>
      <c r="C131" s="38" t="s">
        <v>115</v>
      </c>
      <c r="D131" s="52" t="s">
        <v>116</v>
      </c>
      <c r="E131" s="48" t="s">
        <v>10</v>
      </c>
      <c r="F131" s="48">
        <v>1</v>
      </c>
      <c r="G131" s="53">
        <v>120</v>
      </c>
      <c r="H131" s="10">
        <f>SUM(F131*G131)</f>
        <v>120</v>
      </c>
    </row>
    <row r="132" spans="1:8" x14ac:dyDescent="0.15">
      <c r="B132" s="31"/>
      <c r="C132" s="11"/>
      <c r="D132" s="11"/>
      <c r="F132" s="8"/>
      <c r="H132" s="10"/>
    </row>
    <row r="133" spans="1:8" ht="14" x14ac:dyDescent="0.15">
      <c r="A133" s="7">
        <v>5.59</v>
      </c>
      <c r="B133" s="33" t="s">
        <v>743</v>
      </c>
      <c r="C133" s="11" t="s">
        <v>105</v>
      </c>
      <c r="D133" s="11" t="s">
        <v>106</v>
      </c>
      <c r="E133" s="48" t="s">
        <v>76</v>
      </c>
      <c r="F133" s="8">
        <v>10</v>
      </c>
      <c r="G133" s="10">
        <v>5</v>
      </c>
      <c r="H133" s="10">
        <f>SUM(F133*G133)</f>
        <v>50</v>
      </c>
    </row>
    <row r="134" spans="1:8" x14ac:dyDescent="0.15">
      <c r="B134" s="31"/>
      <c r="C134" s="11"/>
      <c r="D134" s="11"/>
      <c r="F134" s="8"/>
      <c r="H134" s="10"/>
    </row>
    <row r="135" spans="1:8" ht="28" x14ac:dyDescent="0.15">
      <c r="A135" s="7">
        <v>5.6</v>
      </c>
      <c r="B135" s="33" t="s">
        <v>745</v>
      </c>
      <c r="C135" s="38" t="s">
        <v>83</v>
      </c>
      <c r="D135" s="38" t="s">
        <v>117</v>
      </c>
      <c r="E135" s="48" t="s">
        <v>8</v>
      </c>
      <c r="F135" s="8"/>
      <c r="H135" s="10" t="s">
        <v>26</v>
      </c>
    </row>
    <row r="136" spans="1:8" x14ac:dyDescent="0.15">
      <c r="B136" s="31"/>
      <c r="C136" s="11"/>
      <c r="D136" s="11"/>
      <c r="F136" s="8"/>
      <c r="H136" s="10"/>
    </row>
    <row r="137" spans="1:8" ht="28" x14ac:dyDescent="0.15">
      <c r="A137" s="7">
        <v>5.61</v>
      </c>
      <c r="B137" s="33" t="s">
        <v>743</v>
      </c>
      <c r="C137" s="11" t="s">
        <v>120</v>
      </c>
      <c r="D137" s="11" t="s">
        <v>121</v>
      </c>
      <c r="E137" s="8" t="s">
        <v>8</v>
      </c>
      <c r="F137" s="8"/>
      <c r="H137" s="10">
        <v>60</v>
      </c>
    </row>
    <row r="138" spans="1:8" x14ac:dyDescent="0.15">
      <c r="B138" s="33"/>
      <c r="C138" s="11"/>
      <c r="D138" s="11"/>
      <c r="F138" s="8"/>
      <c r="H138" s="10"/>
    </row>
    <row r="139" spans="1:8" ht="14" x14ac:dyDescent="0.15">
      <c r="A139" s="3">
        <v>6</v>
      </c>
      <c r="B139" s="33"/>
      <c r="C139" s="14" t="s">
        <v>125</v>
      </c>
      <c r="D139" s="11"/>
      <c r="F139" s="8"/>
      <c r="H139" s="10"/>
    </row>
    <row r="140" spans="1:8" x14ac:dyDescent="0.15">
      <c r="B140" s="33"/>
      <c r="C140" s="11"/>
      <c r="D140" s="11"/>
      <c r="F140" s="8"/>
      <c r="H140" s="36"/>
    </row>
    <row r="141" spans="1:8" ht="28" x14ac:dyDescent="0.15">
      <c r="A141" s="7">
        <v>6.01</v>
      </c>
      <c r="B141" s="33" t="s">
        <v>743</v>
      </c>
      <c r="C141" s="38" t="s">
        <v>142</v>
      </c>
      <c r="D141" s="38" t="s">
        <v>122</v>
      </c>
      <c r="E141" s="48" t="s">
        <v>76</v>
      </c>
      <c r="F141" s="48">
        <v>2</v>
      </c>
      <c r="G141" s="49">
        <v>40</v>
      </c>
      <c r="H141" s="10">
        <f>SUM(F141*G141)</f>
        <v>80</v>
      </c>
    </row>
    <row r="142" spans="1:8" x14ac:dyDescent="0.15">
      <c r="B142" s="31"/>
      <c r="C142" s="38"/>
      <c r="D142" s="38"/>
      <c r="E142" s="48"/>
      <c r="F142" s="48"/>
      <c r="G142" s="49"/>
      <c r="H142" s="10"/>
    </row>
    <row r="143" spans="1:8" ht="14" x14ac:dyDescent="0.15">
      <c r="A143" s="7">
        <v>6.02</v>
      </c>
      <c r="B143" s="33" t="s">
        <v>743</v>
      </c>
      <c r="C143" s="38" t="s">
        <v>132</v>
      </c>
      <c r="D143" s="38" t="s">
        <v>16</v>
      </c>
      <c r="E143" s="50" t="s">
        <v>10</v>
      </c>
      <c r="F143" s="48">
        <v>2</v>
      </c>
      <c r="G143" s="49">
        <v>10</v>
      </c>
      <c r="H143" s="10">
        <f>SUM(F143*G143)</f>
        <v>20</v>
      </c>
    </row>
    <row r="144" spans="1:8" x14ac:dyDescent="0.15">
      <c r="B144" s="31"/>
      <c r="C144" s="11"/>
      <c r="D144" s="11"/>
      <c r="F144" s="8"/>
      <c r="H144" s="10"/>
    </row>
    <row r="145" spans="1:8" ht="42" x14ac:dyDescent="0.15">
      <c r="A145" s="7">
        <v>6.03</v>
      </c>
      <c r="B145" s="31" t="s">
        <v>747</v>
      </c>
      <c r="C145" s="11" t="s">
        <v>123</v>
      </c>
      <c r="D145" s="5" t="s">
        <v>124</v>
      </c>
      <c r="E145" s="48" t="s">
        <v>76</v>
      </c>
      <c r="F145" s="8">
        <v>9</v>
      </c>
      <c r="G145" s="10">
        <v>9</v>
      </c>
      <c r="H145" s="10">
        <f>SUM(F145*G145)</f>
        <v>81</v>
      </c>
    </row>
    <row r="146" spans="1:8" x14ac:dyDescent="0.15">
      <c r="C146" s="11"/>
      <c r="D146" s="11"/>
      <c r="F146" s="8"/>
      <c r="H146" s="10"/>
    </row>
    <row r="147" spans="1:8" ht="28" x14ac:dyDescent="0.15">
      <c r="A147" s="7">
        <v>6.04</v>
      </c>
      <c r="B147" s="31" t="s">
        <v>747</v>
      </c>
      <c r="C147" s="11" t="s">
        <v>78</v>
      </c>
      <c r="D147" s="11" t="s">
        <v>792</v>
      </c>
      <c r="E147" s="8" t="s">
        <v>11</v>
      </c>
      <c r="F147" s="8">
        <v>3</v>
      </c>
      <c r="G147" s="10">
        <v>5</v>
      </c>
      <c r="H147" s="10">
        <f>SUM(F147*G147)</f>
        <v>15</v>
      </c>
    </row>
    <row r="149" spans="1:8" ht="14" x14ac:dyDescent="0.15">
      <c r="A149" s="7">
        <v>6.05</v>
      </c>
      <c r="B149" s="33" t="s">
        <v>743</v>
      </c>
      <c r="C149" s="41" t="s">
        <v>53</v>
      </c>
      <c r="D149" s="38" t="s">
        <v>90</v>
      </c>
      <c r="E149" s="48" t="s">
        <v>76</v>
      </c>
      <c r="F149" s="48">
        <v>2</v>
      </c>
      <c r="G149" s="49">
        <v>48</v>
      </c>
      <c r="H149" s="10">
        <f>SUM(F149*G149)</f>
        <v>96</v>
      </c>
    </row>
    <row r="150" spans="1:8" x14ac:dyDescent="0.15">
      <c r="B150" s="31"/>
    </row>
    <row r="151" spans="1:8" ht="28" x14ac:dyDescent="0.15">
      <c r="A151" s="7">
        <v>6.06</v>
      </c>
      <c r="B151" s="31" t="s">
        <v>745</v>
      </c>
      <c r="C151" s="5" t="s">
        <v>126</v>
      </c>
      <c r="D151" s="5" t="s">
        <v>127</v>
      </c>
      <c r="E151" s="8" t="s">
        <v>8</v>
      </c>
      <c r="H151" s="10">
        <v>280</v>
      </c>
    </row>
    <row r="152" spans="1:8" x14ac:dyDescent="0.15">
      <c r="B152" s="31"/>
      <c r="H152" s="10"/>
    </row>
    <row r="153" spans="1:8" ht="28" x14ac:dyDescent="0.15">
      <c r="A153" s="7">
        <v>6.07</v>
      </c>
      <c r="B153" s="31" t="s">
        <v>747</v>
      </c>
      <c r="C153" s="11" t="s">
        <v>129</v>
      </c>
      <c r="D153" s="11" t="s">
        <v>128</v>
      </c>
      <c r="E153" s="8" t="s">
        <v>10</v>
      </c>
      <c r="F153" s="9">
        <v>2</v>
      </c>
      <c r="G153" s="10">
        <v>40</v>
      </c>
      <c r="H153" s="10">
        <f>SUM(F153*G153)</f>
        <v>80</v>
      </c>
    </row>
    <row r="154" spans="1:8" x14ac:dyDescent="0.15">
      <c r="B154" s="31"/>
      <c r="C154" s="11"/>
      <c r="D154" s="11"/>
      <c r="H154" s="10"/>
    </row>
    <row r="155" spans="1:8" ht="28" x14ac:dyDescent="0.15">
      <c r="A155" s="7">
        <v>6.08</v>
      </c>
      <c r="B155" s="31" t="s">
        <v>747</v>
      </c>
      <c r="C155" s="5" t="s">
        <v>130</v>
      </c>
      <c r="D155" s="5" t="s">
        <v>131</v>
      </c>
      <c r="E155" s="8" t="s">
        <v>8</v>
      </c>
      <c r="H155" s="10">
        <v>130</v>
      </c>
    </row>
    <row r="156" spans="1:8" x14ac:dyDescent="0.15">
      <c r="H156" s="10"/>
    </row>
    <row r="157" spans="1:8" ht="28" x14ac:dyDescent="0.15">
      <c r="A157" s="7">
        <v>6.09</v>
      </c>
      <c r="B157" s="33" t="s">
        <v>743</v>
      </c>
      <c r="C157" s="5" t="s">
        <v>17</v>
      </c>
      <c r="D157" s="5" t="s">
        <v>18</v>
      </c>
      <c r="E157" s="8" t="s">
        <v>10</v>
      </c>
      <c r="F157" s="9">
        <v>1</v>
      </c>
      <c r="G157" s="10">
        <v>10</v>
      </c>
      <c r="H157" s="10">
        <f>SUM(F157*G157)</f>
        <v>10</v>
      </c>
    </row>
    <row r="158" spans="1:8" x14ac:dyDescent="0.15">
      <c r="B158" s="33"/>
    </row>
    <row r="159" spans="1:8" ht="14" x14ac:dyDescent="0.15">
      <c r="B159" s="31"/>
      <c r="C159" s="14" t="s">
        <v>133</v>
      </c>
      <c r="D159" s="11"/>
      <c r="F159" s="34"/>
      <c r="H159" s="36"/>
    </row>
    <row r="160" spans="1:8" x14ac:dyDescent="0.15">
      <c r="B160" s="31"/>
      <c r="C160" s="11"/>
      <c r="D160" s="11"/>
      <c r="F160" s="34"/>
      <c r="H160" s="36"/>
    </row>
    <row r="161" spans="1:8" ht="28" x14ac:dyDescent="0.15">
      <c r="A161" s="7">
        <v>6.1</v>
      </c>
      <c r="B161" s="33" t="s">
        <v>743</v>
      </c>
      <c r="C161" s="38" t="s">
        <v>142</v>
      </c>
      <c r="D161" s="38" t="s">
        <v>122</v>
      </c>
      <c r="E161" s="48" t="s">
        <v>76</v>
      </c>
      <c r="F161" s="8">
        <v>60</v>
      </c>
      <c r="G161" s="10">
        <v>40</v>
      </c>
      <c r="H161" s="10">
        <f>SUM(F161*G161)</f>
        <v>2400</v>
      </c>
    </row>
    <row r="162" spans="1:8" x14ac:dyDescent="0.15">
      <c r="B162" s="31"/>
      <c r="C162" s="11"/>
      <c r="D162" s="11"/>
      <c r="F162" s="8"/>
      <c r="H162" s="10"/>
    </row>
    <row r="163" spans="1:8" ht="28" x14ac:dyDescent="0.15">
      <c r="A163" s="7">
        <v>6.11</v>
      </c>
      <c r="B163" s="33" t="s">
        <v>743</v>
      </c>
      <c r="C163" s="11" t="s">
        <v>134</v>
      </c>
      <c r="D163" s="11" t="s">
        <v>135</v>
      </c>
      <c r="E163" s="8" t="s">
        <v>10</v>
      </c>
      <c r="F163" s="8">
        <v>10</v>
      </c>
      <c r="G163" s="10">
        <v>120</v>
      </c>
      <c r="H163" s="10">
        <f>SUM(F163*G163)</f>
        <v>1200</v>
      </c>
    </row>
    <row r="164" spans="1:8" x14ac:dyDescent="0.15">
      <c r="B164" s="33"/>
      <c r="C164" s="14"/>
      <c r="D164" s="11"/>
      <c r="F164" s="8"/>
      <c r="H164" s="10"/>
    </row>
    <row r="165" spans="1:8" ht="42" x14ac:dyDescent="0.15">
      <c r="A165" s="7">
        <v>6.12</v>
      </c>
      <c r="B165" s="31" t="s">
        <v>747</v>
      </c>
      <c r="C165" s="11" t="s">
        <v>583</v>
      </c>
      <c r="D165" s="5" t="s">
        <v>124</v>
      </c>
      <c r="E165" s="48" t="s">
        <v>76</v>
      </c>
      <c r="F165" s="8">
        <v>96</v>
      </c>
      <c r="G165" s="10">
        <v>9</v>
      </c>
      <c r="H165" s="10">
        <f>SUM(F165*G165)</f>
        <v>864</v>
      </c>
    </row>
    <row r="166" spans="1:8" x14ac:dyDescent="0.15">
      <c r="B166" s="31"/>
      <c r="C166" s="11"/>
      <c r="D166" s="11"/>
      <c r="F166" s="8"/>
      <c r="H166" s="10"/>
    </row>
    <row r="167" spans="1:8" ht="28" x14ac:dyDescent="0.15">
      <c r="A167" s="7">
        <v>6.13</v>
      </c>
      <c r="B167" s="31" t="s">
        <v>747</v>
      </c>
      <c r="C167" s="11" t="s">
        <v>78</v>
      </c>
      <c r="D167" s="11" t="s">
        <v>792</v>
      </c>
      <c r="E167" s="8" t="s">
        <v>11</v>
      </c>
      <c r="F167" s="8">
        <v>28</v>
      </c>
      <c r="G167" s="10">
        <v>5</v>
      </c>
      <c r="H167" s="10">
        <f>SUM(F167*G167)</f>
        <v>140</v>
      </c>
    </row>
    <row r="168" spans="1:8" x14ac:dyDescent="0.15">
      <c r="B168" s="33"/>
      <c r="C168" s="11"/>
      <c r="D168" s="11"/>
      <c r="F168" s="8"/>
      <c r="H168" s="10"/>
    </row>
    <row r="169" spans="1:8" ht="28" x14ac:dyDescent="0.15">
      <c r="A169" s="7">
        <v>6.14</v>
      </c>
      <c r="B169" s="33" t="s">
        <v>743</v>
      </c>
      <c r="C169" s="38" t="s">
        <v>136</v>
      </c>
      <c r="D169" s="38" t="s">
        <v>90</v>
      </c>
      <c r="E169" s="48" t="s">
        <v>76</v>
      </c>
      <c r="F169" s="48">
        <v>60</v>
      </c>
      <c r="G169" s="49">
        <v>48</v>
      </c>
      <c r="H169" s="10">
        <f>SUM(F169*G169)</f>
        <v>2880</v>
      </c>
    </row>
    <row r="170" spans="1:8" x14ac:dyDescent="0.15">
      <c r="B170" s="31"/>
      <c r="C170" s="11"/>
      <c r="D170" s="11"/>
      <c r="F170" s="8"/>
      <c r="H170" s="36"/>
    </row>
    <row r="171" spans="1:8" ht="14" x14ac:dyDescent="0.15">
      <c r="A171" s="7">
        <v>6.15</v>
      </c>
      <c r="B171" s="33" t="s">
        <v>745</v>
      </c>
      <c r="C171" s="51" t="s">
        <v>83</v>
      </c>
      <c r="D171" s="51" t="s">
        <v>84</v>
      </c>
      <c r="E171" s="48" t="s">
        <v>8</v>
      </c>
      <c r="F171" s="8"/>
      <c r="H171" s="10" t="s">
        <v>26</v>
      </c>
    </row>
    <row r="172" spans="1:8" x14ac:dyDescent="0.15">
      <c r="B172" s="31"/>
      <c r="C172" s="11"/>
      <c r="D172" s="11"/>
      <c r="F172" s="8"/>
      <c r="H172" s="10"/>
    </row>
    <row r="173" spans="1:8" ht="28" x14ac:dyDescent="0.15">
      <c r="A173" s="7">
        <v>6.16</v>
      </c>
      <c r="B173" s="33" t="s">
        <v>745</v>
      </c>
      <c r="C173" s="52" t="s">
        <v>137</v>
      </c>
      <c r="D173" s="38" t="s">
        <v>138</v>
      </c>
      <c r="E173" s="48" t="s">
        <v>8</v>
      </c>
      <c r="F173" s="8"/>
      <c r="H173" s="10" t="s">
        <v>26</v>
      </c>
    </row>
    <row r="174" spans="1:8" x14ac:dyDescent="0.15">
      <c r="C174" s="11"/>
      <c r="D174" s="11"/>
      <c r="F174" s="8"/>
      <c r="H174" s="10"/>
    </row>
    <row r="175" spans="1:8" ht="42" x14ac:dyDescent="0.15">
      <c r="A175" s="7">
        <v>6.17</v>
      </c>
      <c r="B175" s="31" t="s">
        <v>747</v>
      </c>
      <c r="C175" s="11" t="s">
        <v>92</v>
      </c>
      <c r="D175" s="11" t="s">
        <v>93</v>
      </c>
      <c r="E175" s="8" t="s">
        <v>10</v>
      </c>
      <c r="F175" s="34">
        <v>2</v>
      </c>
      <c r="G175" s="10">
        <v>120</v>
      </c>
      <c r="H175" s="10">
        <f>SUM(F175*G175)</f>
        <v>240</v>
      </c>
    </row>
    <row r="176" spans="1:8" x14ac:dyDescent="0.15">
      <c r="B176" s="31"/>
    </row>
    <row r="177" spans="1:8" ht="42" x14ac:dyDescent="0.15">
      <c r="A177" s="7">
        <v>6.1800000000000104</v>
      </c>
      <c r="B177" s="31" t="s">
        <v>747</v>
      </c>
      <c r="C177" s="5" t="s">
        <v>139</v>
      </c>
      <c r="D177" s="5" t="s">
        <v>140</v>
      </c>
      <c r="E177" s="8" t="s">
        <v>8</v>
      </c>
      <c r="H177" s="10">
        <v>160</v>
      </c>
    </row>
    <row r="178" spans="1:8" x14ac:dyDescent="0.15">
      <c r="B178" s="31"/>
      <c r="C178" s="1"/>
      <c r="H178" s="19"/>
    </row>
    <row r="179" spans="1:8" ht="28" x14ac:dyDescent="0.15">
      <c r="A179" s="7">
        <v>6.1900000000000102</v>
      </c>
      <c r="B179" s="31" t="s">
        <v>747</v>
      </c>
      <c r="C179" s="11" t="s">
        <v>582</v>
      </c>
      <c r="D179" s="11" t="s">
        <v>81</v>
      </c>
      <c r="E179" s="8" t="s">
        <v>10</v>
      </c>
      <c r="F179" s="8">
        <v>6</v>
      </c>
      <c r="G179" s="10">
        <v>75</v>
      </c>
      <c r="H179" s="10">
        <f>SUM(F179*G179)</f>
        <v>450</v>
      </c>
    </row>
    <row r="180" spans="1:8" x14ac:dyDescent="0.15">
      <c r="C180" s="11"/>
      <c r="D180" s="11"/>
      <c r="F180" s="8"/>
      <c r="H180" s="10"/>
    </row>
    <row r="181" spans="1:8" ht="14" x14ac:dyDescent="0.15">
      <c r="A181" s="7">
        <v>6.2000000000000099</v>
      </c>
      <c r="B181" s="33" t="s">
        <v>743</v>
      </c>
      <c r="C181" s="5" t="s">
        <v>17</v>
      </c>
      <c r="D181" s="5" t="s">
        <v>547</v>
      </c>
      <c r="E181" s="8" t="s">
        <v>8</v>
      </c>
      <c r="H181" s="20">
        <v>10</v>
      </c>
    </row>
    <row r="183" spans="1:8" ht="14" x14ac:dyDescent="0.15">
      <c r="B183" s="33"/>
      <c r="C183" s="14" t="s">
        <v>141</v>
      </c>
      <c r="D183" s="11"/>
      <c r="H183" s="10"/>
    </row>
    <row r="185" spans="1:8" ht="28" x14ac:dyDescent="0.15">
      <c r="A185" s="7">
        <v>6.21</v>
      </c>
      <c r="B185" s="33" t="s">
        <v>743</v>
      </c>
      <c r="C185" s="38" t="s">
        <v>143</v>
      </c>
      <c r="D185" s="38" t="s">
        <v>122</v>
      </c>
      <c r="E185" s="48" t="s">
        <v>76</v>
      </c>
      <c r="F185" s="9">
        <v>10</v>
      </c>
      <c r="G185" s="10">
        <v>40</v>
      </c>
      <c r="H185" s="10">
        <f>SUM(F185*G185)</f>
        <v>400</v>
      </c>
    </row>
    <row r="187" spans="1:8" ht="28" x14ac:dyDescent="0.15">
      <c r="A187" s="7">
        <v>6.22</v>
      </c>
      <c r="B187" s="33" t="s">
        <v>743</v>
      </c>
      <c r="C187" s="5" t="s">
        <v>144</v>
      </c>
      <c r="D187" s="5" t="s">
        <v>145</v>
      </c>
      <c r="E187" s="8" t="s">
        <v>10</v>
      </c>
      <c r="F187" s="9">
        <v>1</v>
      </c>
      <c r="G187" s="10">
        <v>20</v>
      </c>
      <c r="H187" s="10">
        <f>SUM(F187*G187)</f>
        <v>20</v>
      </c>
    </row>
    <row r="189" spans="1:8" ht="42" x14ac:dyDescent="0.15">
      <c r="A189" s="7">
        <v>6.23</v>
      </c>
      <c r="B189" s="31" t="s">
        <v>747</v>
      </c>
      <c r="C189" s="11" t="s">
        <v>584</v>
      </c>
      <c r="D189" s="5" t="s">
        <v>146</v>
      </c>
      <c r="E189" s="48" t="s">
        <v>76</v>
      </c>
      <c r="F189" s="9">
        <v>32</v>
      </c>
      <c r="G189" s="10">
        <v>9</v>
      </c>
      <c r="H189" s="10">
        <f>SUM(F189*G189)</f>
        <v>288</v>
      </c>
    </row>
    <row r="191" spans="1:8" ht="28" x14ac:dyDescent="0.15">
      <c r="A191" s="7">
        <v>6.24</v>
      </c>
      <c r="B191" s="31" t="s">
        <v>747</v>
      </c>
      <c r="C191" s="11" t="s">
        <v>78</v>
      </c>
      <c r="D191" s="11" t="s">
        <v>792</v>
      </c>
      <c r="E191" s="8" t="s">
        <v>11</v>
      </c>
      <c r="F191" s="8">
        <v>10</v>
      </c>
      <c r="G191" s="10">
        <v>5</v>
      </c>
      <c r="H191" s="10">
        <f>SUM(F191*G191)</f>
        <v>50</v>
      </c>
    </row>
    <row r="192" spans="1:8" x14ac:dyDescent="0.15">
      <c r="C192" s="11"/>
      <c r="D192" s="11"/>
      <c r="F192" s="8"/>
      <c r="H192" s="10"/>
    </row>
    <row r="193" spans="1:8" ht="14" x14ac:dyDescent="0.15">
      <c r="A193" s="7">
        <v>6.25</v>
      </c>
      <c r="B193" s="33" t="s">
        <v>743</v>
      </c>
      <c r="C193" s="38" t="s">
        <v>147</v>
      </c>
      <c r="D193" s="38" t="s">
        <v>90</v>
      </c>
      <c r="E193" s="48" t="s">
        <v>76</v>
      </c>
      <c r="F193" s="48">
        <v>10</v>
      </c>
      <c r="G193" s="49">
        <v>48</v>
      </c>
      <c r="H193" s="10">
        <f>SUM(F193*G193)</f>
        <v>480</v>
      </c>
    </row>
    <row r="194" spans="1:8" x14ac:dyDescent="0.15">
      <c r="C194" s="11"/>
      <c r="D194" s="11"/>
      <c r="F194" s="8"/>
      <c r="H194" s="10"/>
    </row>
    <row r="195" spans="1:8" ht="56" x14ac:dyDescent="0.15">
      <c r="A195" s="7">
        <v>6.26</v>
      </c>
      <c r="B195" s="33" t="s">
        <v>743</v>
      </c>
      <c r="C195" s="11" t="s">
        <v>148</v>
      </c>
      <c r="D195" s="11" t="s">
        <v>149</v>
      </c>
      <c r="E195" s="8" t="s">
        <v>8</v>
      </c>
      <c r="F195" s="8"/>
      <c r="H195" s="10">
        <v>350</v>
      </c>
    </row>
    <row r="196" spans="1:8" x14ac:dyDescent="0.15">
      <c r="C196" s="11"/>
      <c r="D196" s="11"/>
      <c r="F196" s="8"/>
      <c r="H196" s="10"/>
    </row>
    <row r="197" spans="1:8" ht="42" x14ac:dyDescent="0.15">
      <c r="A197" s="7">
        <v>6.27</v>
      </c>
      <c r="B197" s="31" t="s">
        <v>747</v>
      </c>
      <c r="C197" s="11" t="s">
        <v>151</v>
      </c>
      <c r="D197" s="11" t="s">
        <v>150</v>
      </c>
      <c r="E197" s="8" t="s">
        <v>8</v>
      </c>
      <c r="F197" s="8"/>
      <c r="H197" s="10">
        <v>160</v>
      </c>
    </row>
    <row r="198" spans="1:8" x14ac:dyDescent="0.15">
      <c r="C198" s="11"/>
      <c r="D198" s="11"/>
      <c r="F198" s="8"/>
      <c r="H198" s="10"/>
    </row>
    <row r="199" spans="1:8" ht="28" x14ac:dyDescent="0.15">
      <c r="A199" s="7">
        <v>6.28</v>
      </c>
      <c r="B199" s="33" t="s">
        <v>745</v>
      </c>
      <c r="C199" s="11" t="s">
        <v>152</v>
      </c>
      <c r="D199" s="5" t="s">
        <v>153</v>
      </c>
      <c r="E199" s="8" t="s">
        <v>8</v>
      </c>
      <c r="H199" s="10">
        <v>280</v>
      </c>
    </row>
    <row r="200" spans="1:8" x14ac:dyDescent="0.15">
      <c r="C200" s="1"/>
      <c r="H200" s="10"/>
    </row>
    <row r="201" spans="1:8" ht="28" x14ac:dyDescent="0.15">
      <c r="A201" s="7">
        <v>6.29</v>
      </c>
      <c r="B201" s="33" t="s">
        <v>747</v>
      </c>
      <c r="C201" s="5" t="s">
        <v>154</v>
      </c>
      <c r="D201" s="5" t="s">
        <v>155</v>
      </c>
      <c r="E201" s="8" t="s">
        <v>10</v>
      </c>
      <c r="F201" s="9">
        <v>3</v>
      </c>
      <c r="G201" s="10">
        <v>40</v>
      </c>
      <c r="H201" s="10">
        <f>SUM(F201*G201)</f>
        <v>120</v>
      </c>
    </row>
    <row r="203" spans="1:8" ht="28" x14ac:dyDescent="0.15">
      <c r="A203" s="7">
        <v>6.3</v>
      </c>
      <c r="B203" s="33" t="s">
        <v>745</v>
      </c>
      <c r="C203" s="5" t="s">
        <v>156</v>
      </c>
      <c r="D203" s="5" t="s">
        <v>138</v>
      </c>
      <c r="E203" s="8" t="s">
        <v>8</v>
      </c>
      <c r="H203" s="10" t="s">
        <v>26</v>
      </c>
    </row>
    <row r="205" spans="1:8" ht="28" x14ac:dyDescent="0.15">
      <c r="A205" s="7">
        <v>6.31</v>
      </c>
      <c r="B205" s="33" t="s">
        <v>745</v>
      </c>
      <c r="C205" s="11" t="s">
        <v>157</v>
      </c>
      <c r="D205" s="11" t="s">
        <v>158</v>
      </c>
      <c r="E205" s="8" t="s">
        <v>8</v>
      </c>
      <c r="H205" s="10" t="s">
        <v>26</v>
      </c>
    </row>
    <row r="207" spans="1:8" ht="14" x14ac:dyDescent="0.15">
      <c r="B207" s="33"/>
      <c r="C207" s="1" t="s">
        <v>585</v>
      </c>
      <c r="H207" s="10"/>
    </row>
    <row r="209" spans="1:8" ht="42" x14ac:dyDescent="0.15">
      <c r="A209" s="7">
        <v>6.32</v>
      </c>
      <c r="B209" s="33" t="s">
        <v>747</v>
      </c>
      <c r="C209" s="11" t="s">
        <v>159</v>
      </c>
      <c r="D209" s="11" t="s">
        <v>160</v>
      </c>
      <c r="E209" s="48" t="s">
        <v>76</v>
      </c>
      <c r="F209" s="9">
        <v>6</v>
      </c>
      <c r="G209" s="10">
        <v>20</v>
      </c>
      <c r="H209" s="10">
        <f>SUM(F209*G209)</f>
        <v>120</v>
      </c>
    </row>
    <row r="210" spans="1:8" x14ac:dyDescent="0.15">
      <c r="C210" s="11"/>
      <c r="D210" s="11"/>
      <c r="H210" s="10"/>
    </row>
    <row r="211" spans="1:8" ht="28" x14ac:dyDescent="0.15">
      <c r="A211" s="7">
        <v>6.33</v>
      </c>
      <c r="B211" s="33" t="s">
        <v>743</v>
      </c>
      <c r="C211" s="11" t="s">
        <v>161</v>
      </c>
      <c r="D211" s="11" t="s">
        <v>162</v>
      </c>
      <c r="E211" s="8" t="s">
        <v>10</v>
      </c>
      <c r="F211" s="9">
        <v>1</v>
      </c>
      <c r="G211" s="10">
        <v>120</v>
      </c>
      <c r="H211" s="10">
        <f>SUM(F211*G211)</f>
        <v>120</v>
      </c>
    </row>
    <row r="212" spans="1:8" x14ac:dyDescent="0.15">
      <c r="C212" s="11"/>
      <c r="D212" s="11"/>
      <c r="H212" s="10"/>
    </row>
    <row r="213" spans="1:8" ht="28" x14ac:dyDescent="0.15">
      <c r="A213" s="7">
        <v>6.34</v>
      </c>
      <c r="B213" s="33" t="s">
        <v>743</v>
      </c>
      <c r="C213" s="11" t="s">
        <v>586</v>
      </c>
      <c r="D213" s="11" t="s">
        <v>587</v>
      </c>
      <c r="E213" s="48" t="s">
        <v>76</v>
      </c>
      <c r="F213" s="48">
        <v>25</v>
      </c>
      <c r="G213" s="10">
        <v>5</v>
      </c>
      <c r="H213" s="10">
        <f>SUM(F213*G213)</f>
        <v>125</v>
      </c>
    </row>
    <row r="214" spans="1:8" x14ac:dyDescent="0.15">
      <c r="C214" s="11"/>
      <c r="D214" s="11"/>
      <c r="H214" s="10"/>
    </row>
    <row r="215" spans="1:8" ht="28" x14ac:dyDescent="0.15">
      <c r="A215" s="7">
        <v>6.35</v>
      </c>
      <c r="B215" s="33" t="s">
        <v>743</v>
      </c>
      <c r="C215" s="11" t="s">
        <v>799</v>
      </c>
      <c r="D215" s="11" t="s">
        <v>588</v>
      </c>
      <c r="E215" s="48" t="s">
        <v>76</v>
      </c>
      <c r="F215" s="48">
        <v>6</v>
      </c>
      <c r="G215" s="10">
        <v>15</v>
      </c>
      <c r="H215" s="10">
        <f>SUM(F215*G215)</f>
        <v>90</v>
      </c>
    </row>
    <row r="216" spans="1:8" x14ac:dyDescent="0.15">
      <c r="B216" s="33"/>
    </row>
    <row r="217" spans="1:8" ht="14" x14ac:dyDescent="0.15">
      <c r="A217" s="7">
        <v>6.36</v>
      </c>
      <c r="B217" s="33" t="s">
        <v>745</v>
      </c>
      <c r="C217" s="51" t="s">
        <v>83</v>
      </c>
      <c r="D217" s="51" t="s">
        <v>84</v>
      </c>
      <c r="E217" s="48" t="s">
        <v>8</v>
      </c>
      <c r="H217" s="10" t="s">
        <v>26</v>
      </c>
    </row>
    <row r="218" spans="1:8" x14ac:dyDescent="0.15">
      <c r="B218" s="33"/>
      <c r="C218" s="51"/>
      <c r="D218" s="51"/>
      <c r="E218" s="48"/>
      <c r="H218" s="10"/>
    </row>
    <row r="219" spans="1:8" ht="28" x14ac:dyDescent="0.15">
      <c r="A219" s="7">
        <v>6.37</v>
      </c>
      <c r="B219" s="33" t="s">
        <v>745</v>
      </c>
      <c r="C219" s="52" t="s">
        <v>137</v>
      </c>
      <c r="D219" s="38" t="s">
        <v>138</v>
      </c>
      <c r="E219" s="48" t="s">
        <v>8</v>
      </c>
      <c r="H219" s="36" t="s">
        <v>26</v>
      </c>
    </row>
    <row r="220" spans="1:8" x14ac:dyDescent="0.15">
      <c r="B220" s="33"/>
      <c r="H220" s="10"/>
    </row>
    <row r="221" spans="1:8" ht="14" x14ac:dyDescent="0.15">
      <c r="C221" s="1" t="s">
        <v>163</v>
      </c>
    </row>
    <row r="222" spans="1:8" x14ac:dyDescent="0.15">
      <c r="B222" s="33"/>
      <c r="H222" s="10"/>
    </row>
    <row r="223" spans="1:8" ht="28" x14ac:dyDescent="0.15">
      <c r="A223" s="7">
        <v>6.38</v>
      </c>
      <c r="B223" s="33" t="s">
        <v>743</v>
      </c>
      <c r="C223" s="38" t="s">
        <v>164</v>
      </c>
      <c r="D223" s="38" t="s">
        <v>122</v>
      </c>
      <c r="E223" s="48" t="s">
        <v>76</v>
      </c>
      <c r="F223" s="9">
        <v>13</v>
      </c>
      <c r="G223" s="10">
        <v>40</v>
      </c>
      <c r="H223" s="10">
        <f>SUM(F223*G223)</f>
        <v>520</v>
      </c>
    </row>
    <row r="224" spans="1:8" x14ac:dyDescent="0.15">
      <c r="H224" s="10"/>
    </row>
    <row r="225" spans="1:8" ht="28" x14ac:dyDescent="0.15">
      <c r="A225" s="7">
        <v>6.39</v>
      </c>
      <c r="B225" s="33" t="s">
        <v>743</v>
      </c>
      <c r="C225" s="11" t="s">
        <v>161</v>
      </c>
      <c r="D225" s="11" t="s">
        <v>162</v>
      </c>
      <c r="E225" s="8" t="s">
        <v>10</v>
      </c>
      <c r="F225" s="9">
        <v>1</v>
      </c>
      <c r="G225" s="10">
        <v>120</v>
      </c>
      <c r="H225" s="10">
        <f>SUM(F225*G225)</f>
        <v>120</v>
      </c>
    </row>
    <row r="226" spans="1:8" x14ac:dyDescent="0.15">
      <c r="C226" s="1"/>
      <c r="H226" s="10"/>
    </row>
    <row r="227" spans="1:8" ht="28" x14ac:dyDescent="0.15">
      <c r="A227" s="7">
        <v>6.4</v>
      </c>
      <c r="B227" s="33" t="s">
        <v>747</v>
      </c>
      <c r="C227" s="38" t="s">
        <v>165</v>
      </c>
      <c r="D227" s="38" t="s">
        <v>166</v>
      </c>
      <c r="E227" s="48" t="s">
        <v>76</v>
      </c>
      <c r="F227" s="48">
        <v>37</v>
      </c>
      <c r="G227" s="10">
        <v>10</v>
      </c>
      <c r="H227" s="10">
        <f>SUM(F227*G227)</f>
        <v>370</v>
      </c>
    </row>
    <row r="228" spans="1:8" x14ac:dyDescent="0.15">
      <c r="B228" s="33"/>
      <c r="C228" s="1"/>
      <c r="H228" s="10"/>
    </row>
    <row r="229" spans="1:8" ht="28" x14ac:dyDescent="0.15">
      <c r="A229" s="7">
        <v>6.41</v>
      </c>
      <c r="B229" s="33" t="s">
        <v>747</v>
      </c>
      <c r="C229" s="11" t="s">
        <v>78</v>
      </c>
      <c r="D229" s="11" t="s">
        <v>792</v>
      </c>
      <c r="E229" s="8" t="s">
        <v>11</v>
      </c>
      <c r="F229" s="8">
        <v>13</v>
      </c>
      <c r="G229" s="10">
        <v>5</v>
      </c>
      <c r="H229" s="10">
        <f>SUM(F229*G229)</f>
        <v>65</v>
      </c>
    </row>
    <row r="230" spans="1:8" x14ac:dyDescent="0.15">
      <c r="B230" s="33"/>
      <c r="C230" s="11"/>
      <c r="D230" s="11"/>
      <c r="H230" s="10"/>
    </row>
    <row r="231" spans="1:8" ht="14" x14ac:dyDescent="0.15">
      <c r="A231" s="7">
        <v>6.42</v>
      </c>
      <c r="B231" s="33" t="s">
        <v>743</v>
      </c>
      <c r="C231" s="41" t="s">
        <v>53</v>
      </c>
      <c r="D231" s="38" t="s">
        <v>90</v>
      </c>
      <c r="E231" s="48" t="s">
        <v>76</v>
      </c>
      <c r="F231" s="48">
        <v>13</v>
      </c>
      <c r="G231" s="49">
        <v>48</v>
      </c>
      <c r="H231" s="10">
        <f>SUM(F231*G231)</f>
        <v>624</v>
      </c>
    </row>
    <row r="232" spans="1:8" x14ac:dyDescent="0.15">
      <c r="B232" s="33"/>
      <c r="C232" s="11"/>
      <c r="D232" s="11"/>
      <c r="H232" s="10"/>
    </row>
    <row r="233" spans="1:8" ht="28" x14ac:dyDescent="0.15">
      <c r="A233" s="7">
        <v>6.43</v>
      </c>
      <c r="B233" s="33" t="s">
        <v>747</v>
      </c>
      <c r="C233" s="11" t="s">
        <v>582</v>
      </c>
      <c r="D233" s="11" t="s">
        <v>81</v>
      </c>
      <c r="E233" s="8" t="s">
        <v>10</v>
      </c>
      <c r="F233" s="8">
        <v>4</v>
      </c>
      <c r="G233" s="10">
        <v>25</v>
      </c>
      <c r="H233" s="10">
        <f>SUM(F233*G233)</f>
        <v>100</v>
      </c>
    </row>
    <row r="234" spans="1:8" x14ac:dyDescent="0.15">
      <c r="B234" s="33"/>
      <c r="C234" s="11"/>
      <c r="D234" s="11"/>
      <c r="H234" s="10"/>
    </row>
    <row r="235" spans="1:8" ht="14" x14ac:dyDescent="0.15">
      <c r="A235" s="7">
        <v>6.45</v>
      </c>
      <c r="B235" s="33" t="s">
        <v>745</v>
      </c>
      <c r="C235" s="51" t="s">
        <v>83</v>
      </c>
      <c r="D235" s="51" t="s">
        <v>84</v>
      </c>
      <c r="E235" s="48" t="s">
        <v>8</v>
      </c>
      <c r="H235" s="10" t="s">
        <v>26</v>
      </c>
    </row>
    <row r="236" spans="1:8" x14ac:dyDescent="0.15">
      <c r="B236" s="33"/>
      <c r="C236" s="11"/>
      <c r="D236" s="11"/>
      <c r="H236" s="10"/>
    </row>
    <row r="237" spans="1:8" ht="14" x14ac:dyDescent="0.15">
      <c r="A237" s="7">
        <v>6.46</v>
      </c>
      <c r="B237" s="33" t="s">
        <v>743</v>
      </c>
      <c r="C237" s="5" t="s">
        <v>17</v>
      </c>
      <c r="D237" s="5" t="s">
        <v>547</v>
      </c>
      <c r="E237" s="8" t="s">
        <v>10</v>
      </c>
      <c r="F237" s="9">
        <v>2</v>
      </c>
      <c r="G237" s="10">
        <v>10</v>
      </c>
      <c r="H237" s="10">
        <f>SUM(F237*G237)</f>
        <v>20</v>
      </c>
    </row>
    <row r="238" spans="1:8" x14ac:dyDescent="0.15">
      <c r="B238" s="33"/>
      <c r="H238" s="10"/>
    </row>
    <row r="239" spans="1:8" ht="14" x14ac:dyDescent="0.15">
      <c r="C239" s="1" t="s">
        <v>800</v>
      </c>
      <c r="H239" s="10"/>
    </row>
    <row r="240" spans="1:8" x14ac:dyDescent="0.15">
      <c r="B240" s="33"/>
      <c r="H240" s="10"/>
    </row>
    <row r="241" spans="1:8" ht="28" x14ac:dyDescent="0.15">
      <c r="A241" s="7">
        <v>6.47</v>
      </c>
      <c r="B241" s="33" t="s">
        <v>743</v>
      </c>
      <c r="C241" s="38" t="s">
        <v>589</v>
      </c>
      <c r="D241" s="38" t="s">
        <v>122</v>
      </c>
      <c r="E241" s="48" t="s">
        <v>76</v>
      </c>
      <c r="F241" s="8">
        <v>19</v>
      </c>
      <c r="G241" s="10">
        <v>40</v>
      </c>
      <c r="H241" s="10">
        <f>SUM(F241*G241)</f>
        <v>760</v>
      </c>
    </row>
    <row r="242" spans="1:8" x14ac:dyDescent="0.15">
      <c r="B242" s="33"/>
      <c r="C242" s="11"/>
      <c r="D242" s="11"/>
      <c r="F242" s="8"/>
      <c r="H242" s="10"/>
    </row>
    <row r="243" spans="1:8" ht="28" x14ac:dyDescent="0.15">
      <c r="A243" s="7">
        <v>6.48</v>
      </c>
      <c r="B243" s="33" t="s">
        <v>743</v>
      </c>
      <c r="C243" s="11" t="s">
        <v>134</v>
      </c>
      <c r="D243" s="11" t="s">
        <v>135</v>
      </c>
      <c r="E243" s="8" t="s">
        <v>10</v>
      </c>
      <c r="F243" s="8">
        <v>3</v>
      </c>
      <c r="G243" s="10">
        <v>120</v>
      </c>
      <c r="H243" s="10">
        <f>SUM(F243*G243)</f>
        <v>360</v>
      </c>
    </row>
    <row r="244" spans="1:8" x14ac:dyDescent="0.15">
      <c r="C244" s="14"/>
      <c r="D244" s="11"/>
      <c r="F244" s="8"/>
      <c r="H244" s="10"/>
    </row>
    <row r="245" spans="1:8" ht="42" x14ac:dyDescent="0.15">
      <c r="A245" s="7">
        <v>6.49</v>
      </c>
      <c r="B245" s="33" t="s">
        <v>747</v>
      </c>
      <c r="C245" s="11" t="s">
        <v>590</v>
      </c>
      <c r="D245" s="5" t="s">
        <v>124</v>
      </c>
      <c r="E245" s="48" t="s">
        <v>76</v>
      </c>
      <c r="F245" s="8">
        <v>16</v>
      </c>
      <c r="G245" s="10">
        <v>20</v>
      </c>
      <c r="H245" s="10">
        <f>SUM(F245*G245)</f>
        <v>320</v>
      </c>
    </row>
    <row r="246" spans="1:8" x14ac:dyDescent="0.15">
      <c r="C246" s="11"/>
      <c r="E246" s="48"/>
      <c r="F246" s="8"/>
    </row>
    <row r="247" spans="1:8" ht="28" x14ac:dyDescent="0.15">
      <c r="A247" s="7">
        <v>6.5</v>
      </c>
      <c r="B247" s="33" t="s">
        <v>743</v>
      </c>
      <c r="C247" s="11" t="s">
        <v>175</v>
      </c>
      <c r="D247" s="5" t="s">
        <v>176</v>
      </c>
      <c r="E247" s="50" t="s">
        <v>8</v>
      </c>
      <c r="F247" s="8"/>
      <c r="H247" s="20">
        <v>100</v>
      </c>
    </row>
    <row r="248" spans="1:8" x14ac:dyDescent="0.15">
      <c r="B248" s="33"/>
      <c r="C248" s="11"/>
      <c r="D248" s="11"/>
      <c r="F248" s="8"/>
      <c r="H248" s="10"/>
    </row>
    <row r="249" spans="1:8" ht="28" x14ac:dyDescent="0.15">
      <c r="A249" s="7">
        <v>6.51</v>
      </c>
      <c r="B249" s="33" t="s">
        <v>747</v>
      </c>
      <c r="C249" s="11" t="s">
        <v>78</v>
      </c>
      <c r="D249" s="11" t="s">
        <v>792</v>
      </c>
      <c r="E249" s="8" t="s">
        <v>11</v>
      </c>
      <c r="F249" s="8">
        <v>9</v>
      </c>
      <c r="G249" s="10">
        <v>5</v>
      </c>
      <c r="H249" s="10">
        <f>SUM(F249*G249)</f>
        <v>45</v>
      </c>
    </row>
    <row r="250" spans="1:8" x14ac:dyDescent="0.15">
      <c r="B250" s="33"/>
      <c r="C250" s="11"/>
      <c r="D250" s="11"/>
      <c r="F250" s="8"/>
      <c r="H250" s="10"/>
    </row>
    <row r="251" spans="1:8" ht="14" x14ac:dyDescent="0.15">
      <c r="A251" s="7">
        <v>6.52</v>
      </c>
      <c r="B251" s="33" t="s">
        <v>743</v>
      </c>
      <c r="C251" s="38" t="s">
        <v>167</v>
      </c>
      <c r="D251" s="38" t="s">
        <v>90</v>
      </c>
      <c r="E251" s="48" t="s">
        <v>76</v>
      </c>
      <c r="F251" s="48">
        <v>19</v>
      </c>
      <c r="G251" s="49">
        <v>48</v>
      </c>
      <c r="H251" s="10">
        <f>SUM(F251*G251)</f>
        <v>912</v>
      </c>
    </row>
    <row r="252" spans="1:8" x14ac:dyDescent="0.15">
      <c r="B252" s="33"/>
      <c r="C252" s="11"/>
      <c r="D252" s="11"/>
      <c r="F252" s="8"/>
      <c r="H252" s="10"/>
    </row>
    <row r="253" spans="1:8" ht="14" x14ac:dyDescent="0.15">
      <c r="A253" s="7">
        <v>6.53</v>
      </c>
      <c r="B253" s="33" t="s">
        <v>745</v>
      </c>
      <c r="C253" s="51" t="s">
        <v>83</v>
      </c>
      <c r="D253" s="51" t="s">
        <v>84</v>
      </c>
      <c r="E253" s="48" t="s">
        <v>8</v>
      </c>
      <c r="F253" s="8"/>
      <c r="H253" s="36" t="s">
        <v>26</v>
      </c>
    </row>
    <row r="254" spans="1:8" x14ac:dyDescent="0.15">
      <c r="B254" s="33"/>
      <c r="C254" s="11"/>
      <c r="D254" s="11"/>
      <c r="F254" s="8"/>
      <c r="H254" s="10"/>
    </row>
    <row r="255" spans="1:8" ht="42" x14ac:dyDescent="0.15">
      <c r="A255" s="7">
        <v>6.54</v>
      </c>
      <c r="B255" s="33" t="s">
        <v>747</v>
      </c>
      <c r="C255" s="11" t="s">
        <v>169</v>
      </c>
      <c r="D255" s="11" t="s">
        <v>170</v>
      </c>
      <c r="E255" s="8" t="s">
        <v>10</v>
      </c>
      <c r="F255" s="34">
        <v>1</v>
      </c>
      <c r="G255" s="10">
        <v>120</v>
      </c>
      <c r="H255" s="10">
        <f>SUM(F255*G255)</f>
        <v>120</v>
      </c>
    </row>
    <row r="256" spans="1:8" x14ac:dyDescent="0.15">
      <c r="B256" s="33"/>
      <c r="H256" s="10"/>
    </row>
    <row r="257" spans="1:8" ht="42" x14ac:dyDescent="0.15">
      <c r="A257" s="7">
        <v>6.5500000000000096</v>
      </c>
      <c r="B257" s="33" t="s">
        <v>747</v>
      </c>
      <c r="C257" s="11" t="s">
        <v>80</v>
      </c>
      <c r="D257" s="11" t="s">
        <v>81</v>
      </c>
      <c r="E257" s="8" t="s">
        <v>10</v>
      </c>
      <c r="F257" s="8">
        <v>5</v>
      </c>
      <c r="G257" s="10">
        <v>75</v>
      </c>
      <c r="H257" s="10">
        <f>SUM(F257*G257)</f>
        <v>375</v>
      </c>
    </row>
    <row r="258" spans="1:8" x14ac:dyDescent="0.15">
      <c r="B258" s="33"/>
      <c r="H258" s="10"/>
    </row>
    <row r="259" spans="1:8" ht="28" x14ac:dyDescent="0.15">
      <c r="A259" s="7">
        <v>6.5600000000000103</v>
      </c>
      <c r="B259" s="33" t="s">
        <v>743</v>
      </c>
      <c r="C259" s="5" t="s">
        <v>17</v>
      </c>
      <c r="D259" s="5" t="s">
        <v>18</v>
      </c>
      <c r="E259" s="8" t="s">
        <v>10</v>
      </c>
      <c r="F259" s="9">
        <v>1</v>
      </c>
      <c r="G259" s="10">
        <v>10</v>
      </c>
      <c r="H259" s="10">
        <f>SUM(F259*G259)</f>
        <v>10</v>
      </c>
    </row>
    <row r="260" spans="1:8" x14ac:dyDescent="0.15">
      <c r="H260" s="10"/>
    </row>
    <row r="261" spans="1:8" ht="28" x14ac:dyDescent="0.15">
      <c r="A261" s="7">
        <v>6.5700000000000101</v>
      </c>
      <c r="B261" s="31" t="s">
        <v>748</v>
      </c>
      <c r="C261" s="5" t="s">
        <v>172</v>
      </c>
      <c r="D261" s="5" t="s">
        <v>171</v>
      </c>
      <c r="E261" s="8" t="s">
        <v>8</v>
      </c>
      <c r="H261" s="20">
        <v>200</v>
      </c>
    </row>
    <row r="262" spans="1:8" x14ac:dyDescent="0.15">
      <c r="C262" s="1"/>
      <c r="H262" s="10"/>
    </row>
    <row r="263" spans="1:8" ht="28" x14ac:dyDescent="0.15">
      <c r="A263" s="7">
        <v>6.5800000000000098</v>
      </c>
      <c r="B263" s="31" t="s">
        <v>748</v>
      </c>
      <c r="C263" s="5" t="s">
        <v>173</v>
      </c>
      <c r="D263" s="5" t="s">
        <v>174</v>
      </c>
      <c r="E263" s="8" t="s">
        <v>8</v>
      </c>
      <c r="H263" s="20">
        <v>300</v>
      </c>
    </row>
    <row r="265" spans="1:8" ht="14" x14ac:dyDescent="0.15">
      <c r="C265" s="1" t="s">
        <v>591</v>
      </c>
    </row>
    <row r="267" spans="1:8" ht="14" x14ac:dyDescent="0.15">
      <c r="A267" s="7">
        <v>6.59</v>
      </c>
      <c r="C267" s="38" t="s">
        <v>592</v>
      </c>
      <c r="D267" s="38"/>
      <c r="E267" s="48"/>
      <c r="F267" s="48"/>
      <c r="G267" s="49"/>
      <c r="H267" s="10"/>
    </row>
    <row r="269" spans="1:8" ht="14" x14ac:dyDescent="0.15">
      <c r="C269" s="1" t="s">
        <v>177</v>
      </c>
      <c r="E269" s="39"/>
      <c r="H269" s="10"/>
    </row>
    <row r="270" spans="1:8" ht="14" x14ac:dyDescent="0.15">
      <c r="C270" s="1"/>
      <c r="E270" s="39"/>
      <c r="H270" s="10"/>
    </row>
    <row r="271" spans="1:8" ht="42" x14ac:dyDescent="0.15">
      <c r="A271" s="7">
        <v>6.6</v>
      </c>
      <c r="B271" s="33" t="s">
        <v>747</v>
      </c>
      <c r="C271" s="41" t="s">
        <v>178</v>
      </c>
      <c r="D271" s="41" t="s">
        <v>15</v>
      </c>
      <c r="E271" s="48" t="s">
        <v>76</v>
      </c>
      <c r="F271" s="48">
        <v>19</v>
      </c>
      <c r="G271" s="49">
        <v>9</v>
      </c>
      <c r="H271" s="10">
        <f>SUM(F271*G271)</f>
        <v>171</v>
      </c>
    </row>
    <row r="272" spans="1:8" x14ac:dyDescent="0.15">
      <c r="C272" s="41"/>
      <c r="D272" s="41"/>
      <c r="E272" s="48"/>
      <c r="F272" s="48"/>
      <c r="G272" s="49"/>
    </row>
    <row r="273" spans="1:8" ht="14" x14ac:dyDescent="0.15">
      <c r="A273" s="7">
        <v>6.61</v>
      </c>
      <c r="B273" s="33" t="s">
        <v>743</v>
      </c>
      <c r="C273" s="38" t="s">
        <v>179</v>
      </c>
      <c r="D273" s="52" t="s">
        <v>19</v>
      </c>
      <c r="E273" s="48" t="s">
        <v>10</v>
      </c>
      <c r="F273" s="48">
        <v>4</v>
      </c>
      <c r="G273" s="53">
        <v>10</v>
      </c>
      <c r="H273" s="10">
        <f>SUM(F273*G273)</f>
        <v>40</v>
      </c>
    </row>
    <row r="274" spans="1:8" x14ac:dyDescent="0.15">
      <c r="B274" s="33"/>
      <c r="C274" s="38"/>
      <c r="D274" s="52"/>
      <c r="E274" s="48"/>
      <c r="F274" s="48"/>
      <c r="G274" s="53"/>
    </row>
    <row r="275" spans="1:8" ht="14" x14ac:dyDescent="0.15">
      <c r="A275" s="7">
        <v>6.62</v>
      </c>
      <c r="B275" s="33" t="s">
        <v>743</v>
      </c>
      <c r="C275" s="38" t="s">
        <v>180</v>
      </c>
      <c r="D275" s="52" t="s">
        <v>181</v>
      </c>
      <c r="E275" s="50" t="s">
        <v>10</v>
      </c>
      <c r="F275" s="48">
        <v>1</v>
      </c>
      <c r="G275" s="53">
        <v>120</v>
      </c>
      <c r="H275" s="10">
        <f>SUM(F275*G275)</f>
        <v>120</v>
      </c>
    </row>
    <row r="276" spans="1:8" x14ac:dyDescent="0.15">
      <c r="H276" s="10"/>
    </row>
    <row r="277" spans="1:8" ht="28" x14ac:dyDescent="0.15">
      <c r="A277" s="7">
        <v>6.63</v>
      </c>
      <c r="B277" s="33" t="s">
        <v>747</v>
      </c>
      <c r="C277" s="38" t="s">
        <v>593</v>
      </c>
      <c r="D277" s="38" t="s">
        <v>82</v>
      </c>
      <c r="E277" s="48" t="s">
        <v>76</v>
      </c>
      <c r="F277" s="48">
        <v>56</v>
      </c>
      <c r="G277" s="10">
        <v>8</v>
      </c>
      <c r="H277" s="10">
        <f>SUM(F277*G277)</f>
        <v>448</v>
      </c>
    </row>
    <row r="278" spans="1:8" x14ac:dyDescent="0.15">
      <c r="C278" s="38"/>
      <c r="D278" s="38"/>
      <c r="E278" s="48"/>
      <c r="F278" s="48"/>
      <c r="H278" s="10"/>
    </row>
    <row r="279" spans="1:8" ht="28" x14ac:dyDescent="0.15">
      <c r="A279" s="7">
        <v>6.64</v>
      </c>
      <c r="B279" s="33" t="s">
        <v>743</v>
      </c>
      <c r="C279" s="38"/>
      <c r="D279" s="38" t="s">
        <v>189</v>
      </c>
      <c r="E279" s="50" t="s">
        <v>8</v>
      </c>
      <c r="F279" s="48"/>
      <c r="H279" s="10">
        <v>150</v>
      </c>
    </row>
    <row r="280" spans="1:8" x14ac:dyDescent="0.15">
      <c r="B280" s="33"/>
      <c r="C280" s="38"/>
      <c r="D280" s="38"/>
      <c r="E280" s="48"/>
      <c r="F280" s="48"/>
      <c r="H280" s="10"/>
    </row>
    <row r="281" spans="1:8" ht="42" x14ac:dyDescent="0.15">
      <c r="A281" s="7">
        <v>6.65</v>
      </c>
      <c r="B281" s="33" t="s">
        <v>747</v>
      </c>
      <c r="C281" s="5" t="s">
        <v>594</v>
      </c>
      <c r="D281" s="5" t="s">
        <v>187</v>
      </c>
      <c r="E281" s="8" t="s">
        <v>8</v>
      </c>
      <c r="H281" s="10">
        <v>150</v>
      </c>
    </row>
    <row r="282" spans="1:8" x14ac:dyDescent="0.15">
      <c r="B282" s="33"/>
      <c r="H282" s="10"/>
    </row>
    <row r="283" spans="1:8" ht="28" x14ac:dyDescent="0.15">
      <c r="A283" s="7">
        <v>6.66</v>
      </c>
      <c r="B283" s="33" t="s">
        <v>743</v>
      </c>
      <c r="C283" s="5" t="s">
        <v>793</v>
      </c>
      <c r="D283" s="5" t="s">
        <v>188</v>
      </c>
      <c r="E283" s="8" t="s">
        <v>8</v>
      </c>
      <c r="H283" s="10">
        <v>100</v>
      </c>
    </row>
    <row r="284" spans="1:8" x14ac:dyDescent="0.15">
      <c r="B284" s="33"/>
      <c r="H284" s="10"/>
    </row>
    <row r="285" spans="1:8" ht="28" x14ac:dyDescent="0.15">
      <c r="A285" s="7">
        <v>6.67</v>
      </c>
      <c r="B285" s="33" t="s">
        <v>747</v>
      </c>
      <c r="C285" s="11" t="s">
        <v>78</v>
      </c>
      <c r="D285" s="11" t="s">
        <v>792</v>
      </c>
      <c r="E285" s="8" t="s">
        <v>11</v>
      </c>
      <c r="F285" s="8">
        <v>18</v>
      </c>
      <c r="G285" s="10">
        <v>5</v>
      </c>
      <c r="H285" s="10">
        <f>SUM(F285*G285)</f>
        <v>90</v>
      </c>
    </row>
    <row r="286" spans="1:8" x14ac:dyDescent="0.15">
      <c r="B286" s="33"/>
      <c r="H286" s="10"/>
    </row>
    <row r="287" spans="1:8" ht="28" x14ac:dyDescent="0.15">
      <c r="A287" s="7">
        <v>6.6800000000000104</v>
      </c>
      <c r="B287" s="33" t="s">
        <v>743</v>
      </c>
      <c r="C287" s="38" t="s">
        <v>182</v>
      </c>
      <c r="D287" s="38" t="s">
        <v>90</v>
      </c>
      <c r="E287" s="48" t="s">
        <v>76</v>
      </c>
      <c r="F287" s="48">
        <v>19</v>
      </c>
      <c r="G287" s="49">
        <v>48</v>
      </c>
      <c r="H287" s="10">
        <f>SUM(F287*G287)</f>
        <v>912</v>
      </c>
    </row>
    <row r="288" spans="1:8" x14ac:dyDescent="0.15">
      <c r="B288" s="33"/>
      <c r="H288" s="10"/>
    </row>
    <row r="289" spans="1:8" ht="42" x14ac:dyDescent="0.15">
      <c r="A289" s="7">
        <v>6.6900000000000102</v>
      </c>
      <c r="B289" s="33" t="s">
        <v>747</v>
      </c>
      <c r="C289" s="11" t="s">
        <v>92</v>
      </c>
      <c r="D289" s="11" t="s">
        <v>93</v>
      </c>
      <c r="E289" s="8" t="s">
        <v>10</v>
      </c>
      <c r="F289" s="34">
        <v>2</v>
      </c>
      <c r="G289" s="10">
        <v>120</v>
      </c>
      <c r="H289" s="10">
        <f>SUM(F289*G289)</f>
        <v>240</v>
      </c>
    </row>
    <row r="290" spans="1:8" x14ac:dyDescent="0.15">
      <c r="B290" s="33"/>
      <c r="H290" s="10"/>
    </row>
    <row r="291" spans="1:8" ht="42" x14ac:dyDescent="0.15">
      <c r="A291" s="7">
        <v>6.7000000000000099</v>
      </c>
      <c r="B291" s="33" t="s">
        <v>747</v>
      </c>
      <c r="C291" s="11" t="s">
        <v>794</v>
      </c>
      <c r="D291" s="11" t="s">
        <v>93</v>
      </c>
      <c r="E291" s="8" t="s">
        <v>10</v>
      </c>
      <c r="F291" s="34">
        <v>4</v>
      </c>
      <c r="G291" s="10">
        <v>15</v>
      </c>
      <c r="H291" s="10">
        <f>SUM(F291*G291)</f>
        <v>60</v>
      </c>
    </row>
    <row r="292" spans="1:8" x14ac:dyDescent="0.15">
      <c r="C292" s="37"/>
      <c r="D292" s="11"/>
      <c r="H292" s="10"/>
    </row>
    <row r="293" spans="1:8" ht="28" x14ac:dyDescent="0.15">
      <c r="A293" s="7">
        <v>6.7100000000000097</v>
      </c>
      <c r="B293" s="33" t="s">
        <v>743</v>
      </c>
      <c r="C293" s="5" t="s">
        <v>596</v>
      </c>
      <c r="D293" s="5" t="s">
        <v>597</v>
      </c>
      <c r="E293" s="8" t="s">
        <v>8</v>
      </c>
      <c r="H293" s="20">
        <v>250</v>
      </c>
    </row>
    <row r="294" spans="1:8" x14ac:dyDescent="0.15">
      <c r="B294" s="33"/>
      <c r="C294" s="1"/>
      <c r="H294" s="10"/>
    </row>
    <row r="295" spans="1:8" ht="14" x14ac:dyDescent="0.15">
      <c r="A295" s="7">
        <v>6.7200000000000104</v>
      </c>
      <c r="B295" s="33" t="s">
        <v>743</v>
      </c>
      <c r="C295" s="5" t="s">
        <v>17</v>
      </c>
      <c r="D295" s="5" t="s">
        <v>547</v>
      </c>
      <c r="E295" s="8" t="s">
        <v>10</v>
      </c>
      <c r="F295" s="9">
        <v>1</v>
      </c>
      <c r="G295" s="10">
        <v>10</v>
      </c>
      <c r="H295" s="10">
        <f>SUM(F295*G295)</f>
        <v>10</v>
      </c>
    </row>
    <row r="296" spans="1:8" x14ac:dyDescent="0.15">
      <c r="H296" s="10"/>
    </row>
    <row r="297" spans="1:8" ht="14" x14ac:dyDescent="0.15">
      <c r="A297" s="7">
        <v>6.7300000000000102</v>
      </c>
      <c r="B297" s="33" t="s">
        <v>745</v>
      </c>
      <c r="C297" s="51" t="s">
        <v>83</v>
      </c>
      <c r="D297" s="51" t="s">
        <v>84</v>
      </c>
      <c r="E297" s="48" t="s">
        <v>8</v>
      </c>
      <c r="H297" s="10" t="s">
        <v>26</v>
      </c>
    </row>
    <row r="298" spans="1:8" x14ac:dyDescent="0.15">
      <c r="C298" s="51"/>
      <c r="D298" s="51"/>
      <c r="E298" s="48"/>
      <c r="H298" s="10"/>
    </row>
    <row r="299" spans="1:8" ht="28" x14ac:dyDescent="0.15">
      <c r="A299" s="7">
        <v>6.74000000000001</v>
      </c>
      <c r="B299" s="33" t="s">
        <v>745</v>
      </c>
      <c r="C299" s="52" t="s">
        <v>137</v>
      </c>
      <c r="D299" s="38" t="s">
        <v>138</v>
      </c>
      <c r="E299" s="48" t="s">
        <v>8</v>
      </c>
      <c r="H299" s="10" t="s">
        <v>26</v>
      </c>
    </row>
    <row r="300" spans="1:8" x14ac:dyDescent="0.15">
      <c r="H300" s="10"/>
    </row>
    <row r="301" spans="1:8" ht="28" x14ac:dyDescent="0.15">
      <c r="A301" s="7">
        <v>6.7500000000000098</v>
      </c>
      <c r="B301" s="33" t="s">
        <v>743</v>
      </c>
      <c r="C301" s="5" t="s">
        <v>183</v>
      </c>
      <c r="D301" s="5" t="s">
        <v>184</v>
      </c>
      <c r="E301" s="8" t="s">
        <v>8</v>
      </c>
      <c r="H301" s="10">
        <v>40</v>
      </c>
    </row>
    <row r="303" spans="1:8" ht="28" x14ac:dyDescent="0.15">
      <c r="A303" s="7">
        <v>6.7600000000000096</v>
      </c>
      <c r="B303" s="33" t="s">
        <v>743</v>
      </c>
      <c r="C303" s="11" t="s">
        <v>185</v>
      </c>
      <c r="D303" s="11" t="s">
        <v>186</v>
      </c>
      <c r="E303" s="8" t="s">
        <v>8</v>
      </c>
      <c r="H303" s="10">
        <v>60</v>
      </c>
    </row>
    <row r="304" spans="1:8" x14ac:dyDescent="0.15">
      <c r="C304" s="11"/>
      <c r="D304" s="11"/>
      <c r="H304" s="10"/>
    </row>
    <row r="305" spans="1:8" ht="28" x14ac:dyDescent="0.15">
      <c r="A305" s="7">
        <v>6.7700000000000102</v>
      </c>
      <c r="B305" s="33" t="s">
        <v>747</v>
      </c>
      <c r="C305" s="11" t="s">
        <v>598</v>
      </c>
      <c r="D305" s="11" t="s">
        <v>128</v>
      </c>
      <c r="E305" s="8" t="s">
        <v>10</v>
      </c>
      <c r="F305" s="9">
        <v>5</v>
      </c>
      <c r="G305" s="10">
        <v>15</v>
      </c>
      <c r="H305" s="10">
        <f>SUM(F305*G305)</f>
        <v>75</v>
      </c>
    </row>
    <row r="306" spans="1:8" x14ac:dyDescent="0.15">
      <c r="C306" s="11"/>
      <c r="D306" s="11"/>
      <c r="H306" s="10"/>
    </row>
    <row r="307" spans="1:8" ht="14" x14ac:dyDescent="0.15">
      <c r="B307" s="33"/>
      <c r="C307" s="1" t="s">
        <v>190</v>
      </c>
      <c r="H307" s="10"/>
    </row>
    <row r="309" spans="1:8" ht="42" x14ac:dyDescent="0.15">
      <c r="A309" s="7">
        <v>6.78</v>
      </c>
      <c r="B309" s="33" t="s">
        <v>747</v>
      </c>
      <c r="C309" s="38" t="s">
        <v>191</v>
      </c>
      <c r="D309" s="41" t="s">
        <v>15</v>
      </c>
      <c r="E309" s="48" t="s">
        <v>76</v>
      </c>
      <c r="F309" s="48">
        <v>5</v>
      </c>
      <c r="G309" s="49">
        <v>9</v>
      </c>
      <c r="H309" s="10">
        <f>SUM(F309*G309)</f>
        <v>45</v>
      </c>
    </row>
    <row r="311" spans="1:8" ht="28" x14ac:dyDescent="0.15">
      <c r="A311" s="7">
        <v>6.79</v>
      </c>
      <c r="B311" s="33" t="s">
        <v>743</v>
      </c>
      <c r="C311" s="38" t="s">
        <v>599</v>
      </c>
      <c r="D311" s="52" t="s">
        <v>600</v>
      </c>
      <c r="E311" s="48" t="s">
        <v>10</v>
      </c>
      <c r="F311" s="48">
        <v>2</v>
      </c>
      <c r="G311" s="53">
        <v>100</v>
      </c>
      <c r="H311" s="10">
        <f>SUM(F311*G311)</f>
        <v>200</v>
      </c>
    </row>
    <row r="313" spans="1:8" ht="28" x14ac:dyDescent="0.15">
      <c r="A313" s="7">
        <v>6.8</v>
      </c>
      <c r="B313" s="33" t="s">
        <v>747</v>
      </c>
      <c r="C313" s="38" t="s">
        <v>601</v>
      </c>
      <c r="D313" s="38" t="s">
        <v>14</v>
      </c>
      <c r="E313" s="48" t="s">
        <v>76</v>
      </c>
      <c r="F313" s="48">
        <v>34</v>
      </c>
      <c r="G313" s="10">
        <v>8</v>
      </c>
      <c r="H313" s="10">
        <f>SUM(F313*G313)</f>
        <v>272</v>
      </c>
    </row>
    <row r="314" spans="1:8" x14ac:dyDescent="0.15">
      <c r="C314" s="38"/>
      <c r="D314" s="38"/>
      <c r="E314" s="48"/>
      <c r="F314" s="48"/>
      <c r="H314" s="10"/>
    </row>
    <row r="315" spans="1:8" ht="28" x14ac:dyDescent="0.15">
      <c r="A315" s="7">
        <v>6.81</v>
      </c>
      <c r="B315" s="33" t="s">
        <v>743</v>
      </c>
      <c r="C315" s="38" t="s">
        <v>602</v>
      </c>
      <c r="D315" s="38" t="s">
        <v>200</v>
      </c>
      <c r="E315" s="48" t="s">
        <v>76</v>
      </c>
      <c r="F315" s="48">
        <v>2</v>
      </c>
      <c r="G315" s="10">
        <v>20</v>
      </c>
      <c r="H315" s="10">
        <f>SUM(F315*G315)</f>
        <v>40</v>
      </c>
    </row>
    <row r="316" spans="1:8" x14ac:dyDescent="0.15">
      <c r="C316" s="38"/>
      <c r="D316" s="38"/>
      <c r="E316" s="48"/>
      <c r="F316" s="48"/>
      <c r="H316" s="10"/>
    </row>
    <row r="317" spans="1:8" ht="28" x14ac:dyDescent="0.15">
      <c r="A317" s="7">
        <v>6.82</v>
      </c>
      <c r="B317" s="33" t="s">
        <v>747</v>
      </c>
      <c r="C317" s="11" t="s">
        <v>78</v>
      </c>
      <c r="D317" s="11" t="s">
        <v>792</v>
      </c>
      <c r="E317" s="8" t="s">
        <v>11</v>
      </c>
      <c r="F317" s="8">
        <v>4</v>
      </c>
      <c r="G317" s="10">
        <v>5</v>
      </c>
      <c r="H317" s="10">
        <f>SUM(F317*G317)</f>
        <v>20</v>
      </c>
    </row>
    <row r="318" spans="1:8" x14ac:dyDescent="0.15">
      <c r="B318" s="33"/>
      <c r="C318" s="11"/>
      <c r="D318" s="11"/>
      <c r="F318" s="8"/>
    </row>
    <row r="319" spans="1:8" ht="28" x14ac:dyDescent="0.15">
      <c r="A319" s="7">
        <v>6.83</v>
      </c>
      <c r="B319" s="33" t="s">
        <v>743</v>
      </c>
      <c r="C319" s="5" t="s">
        <v>192</v>
      </c>
      <c r="D319" s="5" t="s">
        <v>193</v>
      </c>
      <c r="E319" s="48" t="s">
        <v>76</v>
      </c>
      <c r="F319" s="8">
        <v>2.5</v>
      </c>
      <c r="G319" s="10">
        <v>48</v>
      </c>
      <c r="H319" s="10">
        <f>SUM(F319*G319)</f>
        <v>120</v>
      </c>
    </row>
    <row r="320" spans="1:8" x14ac:dyDescent="0.15">
      <c r="C320" s="11"/>
      <c r="D320" s="11"/>
      <c r="F320" s="8"/>
      <c r="H320" s="36"/>
    </row>
    <row r="321" spans="1:8" ht="14" x14ac:dyDescent="0.15">
      <c r="A321" s="7">
        <v>6.84</v>
      </c>
      <c r="B321" s="33" t="s">
        <v>743</v>
      </c>
      <c r="C321" s="38" t="s">
        <v>53</v>
      </c>
      <c r="D321" s="38" t="s">
        <v>90</v>
      </c>
      <c r="E321" s="48" t="s">
        <v>76</v>
      </c>
      <c r="F321" s="48">
        <v>2.5</v>
      </c>
      <c r="G321" s="49">
        <v>48</v>
      </c>
      <c r="H321" s="10">
        <f>SUM(F321*G321)</f>
        <v>120</v>
      </c>
    </row>
    <row r="322" spans="1:8" x14ac:dyDescent="0.15">
      <c r="F322" s="8"/>
      <c r="H322" s="8"/>
    </row>
    <row r="323" spans="1:8" ht="42" x14ac:dyDescent="0.15">
      <c r="A323" s="7">
        <v>6.85</v>
      </c>
      <c r="B323" s="33" t="s">
        <v>747</v>
      </c>
      <c r="C323" s="11" t="s">
        <v>168</v>
      </c>
      <c r="D323" s="11" t="s">
        <v>93</v>
      </c>
      <c r="E323" s="8" t="s">
        <v>10</v>
      </c>
      <c r="F323" s="34">
        <v>1</v>
      </c>
      <c r="G323" s="10">
        <v>120</v>
      </c>
      <c r="H323" s="10">
        <f>SUM(F323*G323)</f>
        <v>120</v>
      </c>
    </row>
    <row r="325" spans="1:8" ht="28" x14ac:dyDescent="0.15">
      <c r="A325" s="7">
        <v>6.86</v>
      </c>
      <c r="B325" s="33" t="s">
        <v>743</v>
      </c>
      <c r="C325" s="5" t="s">
        <v>17</v>
      </c>
      <c r="D325" s="5" t="s">
        <v>18</v>
      </c>
      <c r="E325" s="8" t="s">
        <v>10</v>
      </c>
      <c r="F325" s="9">
        <v>1</v>
      </c>
      <c r="G325" s="10">
        <v>10</v>
      </c>
      <c r="H325" s="10">
        <f>SUM(F325*G325)</f>
        <v>10</v>
      </c>
    </row>
    <row r="326" spans="1:8" x14ac:dyDescent="0.15">
      <c r="C326" s="11"/>
      <c r="D326" s="11"/>
      <c r="H326" s="10"/>
    </row>
    <row r="327" spans="1:8" ht="28" x14ac:dyDescent="0.15">
      <c r="A327" s="7">
        <v>6.87</v>
      </c>
      <c r="B327" s="33" t="s">
        <v>743</v>
      </c>
      <c r="C327" s="52" t="s">
        <v>137</v>
      </c>
      <c r="D327" s="38" t="s">
        <v>138</v>
      </c>
      <c r="E327" s="48" t="s">
        <v>8</v>
      </c>
      <c r="H327" s="10" t="s">
        <v>26</v>
      </c>
    </row>
    <row r="328" spans="1:8" x14ac:dyDescent="0.15">
      <c r="B328" s="33"/>
      <c r="C328" s="11"/>
      <c r="D328" s="11"/>
      <c r="H328" s="10"/>
    </row>
    <row r="329" spans="1:8" ht="28" x14ac:dyDescent="0.15">
      <c r="A329" s="7">
        <v>6.88</v>
      </c>
      <c r="B329" s="33" t="s">
        <v>743</v>
      </c>
      <c r="C329" s="11" t="s">
        <v>194</v>
      </c>
      <c r="D329" s="11" t="s">
        <v>195</v>
      </c>
      <c r="E329" s="8" t="s">
        <v>8</v>
      </c>
      <c r="F329" s="34"/>
      <c r="H329" s="10">
        <v>20</v>
      </c>
    </row>
    <row r="330" spans="1:8" x14ac:dyDescent="0.15">
      <c r="C330" s="11"/>
      <c r="D330" s="11"/>
      <c r="F330" s="34"/>
      <c r="H330" s="10"/>
    </row>
    <row r="331" spans="1:8" ht="28" x14ac:dyDescent="0.15">
      <c r="A331" s="7">
        <v>6.89</v>
      </c>
      <c r="B331" s="33" t="s">
        <v>743</v>
      </c>
      <c r="C331" s="41" t="s">
        <v>196</v>
      </c>
      <c r="D331" s="41" t="s">
        <v>197</v>
      </c>
      <c r="E331" s="42" t="s">
        <v>8</v>
      </c>
      <c r="F331" s="34"/>
      <c r="H331" s="10">
        <v>10</v>
      </c>
    </row>
    <row r="332" spans="1:8" x14ac:dyDescent="0.15">
      <c r="C332" s="41"/>
      <c r="D332" s="41"/>
      <c r="E332" s="42"/>
      <c r="F332" s="34"/>
      <c r="H332" s="10"/>
    </row>
    <row r="333" spans="1:8" ht="28" x14ac:dyDescent="0.15">
      <c r="A333" s="7">
        <v>6.9</v>
      </c>
      <c r="B333" s="33" t="s">
        <v>743</v>
      </c>
      <c r="C333" s="38" t="s">
        <v>198</v>
      </c>
      <c r="D333" s="38" t="s">
        <v>199</v>
      </c>
      <c r="E333" s="46" t="s">
        <v>10</v>
      </c>
      <c r="F333" s="34">
        <v>1</v>
      </c>
      <c r="G333" s="10">
        <v>40</v>
      </c>
      <c r="H333" s="10">
        <f>SUM(F333*G333)</f>
        <v>40</v>
      </c>
    </row>
    <row r="334" spans="1:8" x14ac:dyDescent="0.15">
      <c r="C334" s="11"/>
      <c r="D334" s="11"/>
      <c r="H334" s="10"/>
    </row>
    <row r="335" spans="1:8" ht="28" x14ac:dyDescent="0.15">
      <c r="A335" s="7">
        <v>6.91</v>
      </c>
      <c r="B335" s="33" t="s">
        <v>743</v>
      </c>
      <c r="C335" s="11" t="s">
        <v>604</v>
      </c>
      <c r="D335" s="11" t="s">
        <v>605</v>
      </c>
      <c r="E335" s="8" t="s">
        <v>8</v>
      </c>
      <c r="H335" s="10">
        <v>100</v>
      </c>
    </row>
    <row r="336" spans="1:8" x14ac:dyDescent="0.15">
      <c r="C336" s="11"/>
      <c r="D336" s="11"/>
      <c r="H336" s="10"/>
    </row>
    <row r="337" spans="1:8" ht="28" x14ac:dyDescent="0.15">
      <c r="A337" s="7">
        <v>6.92</v>
      </c>
      <c r="B337" s="33" t="s">
        <v>743</v>
      </c>
      <c r="C337" s="5" t="s">
        <v>201</v>
      </c>
      <c r="D337" s="5" t="s">
        <v>202</v>
      </c>
      <c r="E337" s="8" t="s">
        <v>8</v>
      </c>
      <c r="H337" s="10" t="s">
        <v>26</v>
      </c>
    </row>
    <row r="339" spans="1:8" ht="14" x14ac:dyDescent="0.15">
      <c r="B339" s="33"/>
      <c r="C339" s="1" t="s">
        <v>203</v>
      </c>
      <c r="H339" s="10"/>
    </row>
    <row r="341" spans="1:8" ht="14" x14ac:dyDescent="0.15">
      <c r="A341" s="7">
        <v>6.93</v>
      </c>
      <c r="C341" s="5" t="s">
        <v>606</v>
      </c>
    </row>
    <row r="343" spans="1:8" ht="14" x14ac:dyDescent="0.15">
      <c r="A343" s="3">
        <v>7</v>
      </c>
      <c r="B343" s="33"/>
      <c r="C343" s="1" t="s">
        <v>204</v>
      </c>
      <c r="H343" s="10"/>
    </row>
    <row r="345" spans="1:8" ht="42" x14ac:dyDescent="0.15">
      <c r="A345" s="7">
        <v>7.01</v>
      </c>
      <c r="B345" s="33" t="s">
        <v>747</v>
      </c>
      <c r="C345" s="38" t="s">
        <v>178</v>
      </c>
      <c r="D345" s="41" t="s">
        <v>15</v>
      </c>
      <c r="E345" s="48" t="s">
        <v>76</v>
      </c>
      <c r="F345" s="48">
        <v>117</v>
      </c>
      <c r="G345" s="49">
        <v>9</v>
      </c>
      <c r="H345" s="10">
        <f>SUM(F345*G345)</f>
        <v>1053</v>
      </c>
    </row>
    <row r="347" spans="1:8" ht="14" x14ac:dyDescent="0.15">
      <c r="A347" s="7">
        <v>7.02</v>
      </c>
      <c r="B347" s="33" t="s">
        <v>743</v>
      </c>
      <c r="C347" s="41" t="s">
        <v>607</v>
      </c>
      <c r="D347" s="5" t="s">
        <v>801</v>
      </c>
      <c r="E347" s="8" t="s">
        <v>8</v>
      </c>
      <c r="H347" s="10">
        <v>200</v>
      </c>
    </row>
    <row r="349" spans="1:8" ht="28" x14ac:dyDescent="0.15">
      <c r="A349" s="7">
        <v>7.03</v>
      </c>
      <c r="B349" s="33" t="s">
        <v>743</v>
      </c>
      <c r="C349" s="38" t="s">
        <v>608</v>
      </c>
      <c r="D349" s="38" t="s">
        <v>609</v>
      </c>
      <c r="E349" s="50" t="s">
        <v>10</v>
      </c>
      <c r="F349" s="48">
        <v>14</v>
      </c>
      <c r="G349" s="10">
        <v>80</v>
      </c>
      <c r="H349" s="10">
        <f>SUM(F349*G349)</f>
        <v>1120</v>
      </c>
    </row>
    <row r="350" spans="1:8" x14ac:dyDescent="0.15">
      <c r="H350" s="10"/>
    </row>
    <row r="351" spans="1:8" ht="28" x14ac:dyDescent="0.15">
      <c r="A351" s="7">
        <v>7.04</v>
      </c>
      <c r="B351" s="33" t="s">
        <v>747</v>
      </c>
      <c r="C351" s="38" t="s">
        <v>205</v>
      </c>
      <c r="D351" s="38" t="s">
        <v>102</v>
      </c>
      <c r="E351" s="48" t="s">
        <v>76</v>
      </c>
      <c r="F351" s="48">
        <v>141</v>
      </c>
      <c r="G351" s="10">
        <v>8</v>
      </c>
      <c r="H351" s="10">
        <f>SUM(F351*G351)</f>
        <v>1128</v>
      </c>
    </row>
    <row r="353" spans="1:8" ht="28" x14ac:dyDescent="0.15">
      <c r="A353" s="7">
        <v>7.05</v>
      </c>
      <c r="B353" s="33" t="s">
        <v>747</v>
      </c>
      <c r="C353" s="11" t="s">
        <v>78</v>
      </c>
      <c r="D353" s="11" t="s">
        <v>792</v>
      </c>
      <c r="E353" s="8" t="s">
        <v>11</v>
      </c>
      <c r="F353" s="8">
        <v>48</v>
      </c>
      <c r="G353" s="10">
        <v>7</v>
      </c>
      <c r="H353" s="10">
        <f>SUM(F353*G353)</f>
        <v>336</v>
      </c>
    </row>
    <row r="355" spans="1:8" ht="28" x14ac:dyDescent="0.15">
      <c r="A355" s="7">
        <v>7.06</v>
      </c>
      <c r="B355" s="33" t="s">
        <v>743</v>
      </c>
      <c r="C355" s="38" t="s">
        <v>207</v>
      </c>
      <c r="D355" s="41" t="s">
        <v>206</v>
      </c>
      <c r="E355" s="48" t="s">
        <v>76</v>
      </c>
      <c r="F355" s="48">
        <v>117</v>
      </c>
      <c r="G355" s="49">
        <v>48</v>
      </c>
      <c r="H355" s="10">
        <f>SUM(F355*G355)</f>
        <v>5616</v>
      </c>
    </row>
    <row r="356" spans="1:8" x14ac:dyDescent="0.15">
      <c r="B356" s="33"/>
      <c r="H356" s="10"/>
    </row>
    <row r="357" spans="1:8" ht="28" x14ac:dyDescent="0.15">
      <c r="A357" s="7">
        <v>7.07</v>
      </c>
      <c r="B357" s="33" t="s">
        <v>747</v>
      </c>
      <c r="C357" s="11" t="s">
        <v>582</v>
      </c>
      <c r="D357" s="11" t="s">
        <v>81</v>
      </c>
      <c r="E357" s="8" t="s">
        <v>10</v>
      </c>
      <c r="F357" s="8">
        <v>8</v>
      </c>
      <c r="G357" s="10">
        <v>25</v>
      </c>
      <c r="H357" s="10">
        <f>SUM(F357*G357)</f>
        <v>200</v>
      </c>
    </row>
    <row r="358" spans="1:8" x14ac:dyDescent="0.15">
      <c r="C358" s="11"/>
      <c r="D358" s="11"/>
      <c r="F358" s="8"/>
      <c r="H358" s="10"/>
    </row>
    <row r="359" spans="1:8" ht="42" x14ac:dyDescent="0.15">
      <c r="A359" s="7">
        <v>7.08</v>
      </c>
      <c r="B359" s="33" t="s">
        <v>747</v>
      </c>
      <c r="C359" s="11" t="s">
        <v>209</v>
      </c>
      <c r="D359" s="11" t="s">
        <v>113</v>
      </c>
      <c r="E359" s="8" t="s">
        <v>10</v>
      </c>
      <c r="F359" s="8">
        <v>2</v>
      </c>
      <c r="G359" s="10">
        <v>20</v>
      </c>
      <c r="H359" s="10">
        <f>SUM(F359*G359)</f>
        <v>40</v>
      </c>
    </row>
    <row r="360" spans="1:8" x14ac:dyDescent="0.15">
      <c r="C360" s="11"/>
      <c r="D360" s="11"/>
      <c r="F360" s="8"/>
    </row>
    <row r="361" spans="1:8" ht="14" x14ac:dyDescent="0.15">
      <c r="A361" s="7">
        <v>7.09</v>
      </c>
      <c r="B361" s="33" t="s">
        <v>743</v>
      </c>
      <c r="C361" s="5" t="s">
        <v>17</v>
      </c>
      <c r="D361" s="5" t="s">
        <v>547</v>
      </c>
      <c r="E361" s="8" t="s">
        <v>10</v>
      </c>
      <c r="F361" s="9">
        <v>8</v>
      </c>
      <c r="G361" s="10">
        <v>10</v>
      </c>
      <c r="H361" s="10">
        <f>SUM(F361*G361)</f>
        <v>80</v>
      </c>
    </row>
    <row r="363" spans="1:8" ht="42" x14ac:dyDescent="0.15">
      <c r="A363" s="7">
        <v>7.1</v>
      </c>
      <c r="B363" s="33" t="s">
        <v>747</v>
      </c>
      <c r="C363" s="11" t="s">
        <v>92</v>
      </c>
      <c r="D363" s="11" t="s">
        <v>93</v>
      </c>
      <c r="E363" s="8" t="s">
        <v>10</v>
      </c>
      <c r="F363" s="34">
        <v>2</v>
      </c>
      <c r="G363" s="10">
        <v>120</v>
      </c>
      <c r="H363" s="10">
        <f>SUM(F363*G363)</f>
        <v>240</v>
      </c>
    </row>
    <row r="364" spans="1:8" x14ac:dyDescent="0.15">
      <c r="C364" s="11"/>
      <c r="D364" s="11"/>
      <c r="F364" s="34"/>
    </row>
    <row r="365" spans="1:8" ht="28" x14ac:dyDescent="0.15">
      <c r="A365" s="7">
        <v>7.11</v>
      </c>
      <c r="B365" s="33" t="s">
        <v>747</v>
      </c>
      <c r="C365" s="11" t="s">
        <v>92</v>
      </c>
      <c r="D365" s="11" t="s">
        <v>208</v>
      </c>
      <c r="E365" s="8" t="s">
        <v>10</v>
      </c>
      <c r="F365" s="34">
        <v>2</v>
      </c>
      <c r="G365" s="10">
        <v>120</v>
      </c>
      <c r="H365" s="10">
        <f>SUM(F365*G365)</f>
        <v>240</v>
      </c>
    </row>
    <row r="366" spans="1:8" x14ac:dyDescent="0.15">
      <c r="H366" s="10"/>
    </row>
    <row r="367" spans="1:8" ht="42" x14ac:dyDescent="0.15">
      <c r="A367" s="7">
        <v>7.12</v>
      </c>
      <c r="B367" s="33" t="s">
        <v>748</v>
      </c>
      <c r="C367" s="11" t="s">
        <v>210</v>
      </c>
      <c r="D367" s="11" t="s">
        <v>211</v>
      </c>
      <c r="E367" s="8" t="s">
        <v>8</v>
      </c>
      <c r="F367" s="8"/>
      <c r="H367" s="10">
        <v>300</v>
      </c>
    </row>
    <row r="368" spans="1:8" x14ac:dyDescent="0.15">
      <c r="B368" s="33"/>
    </row>
    <row r="369" spans="1:8" ht="28" x14ac:dyDescent="0.15">
      <c r="A369" s="7">
        <v>7.13</v>
      </c>
      <c r="B369" s="33" t="s">
        <v>745</v>
      </c>
      <c r="C369" s="5" t="s">
        <v>611</v>
      </c>
      <c r="D369" s="5" t="s">
        <v>212</v>
      </c>
      <c r="E369" s="8" t="s">
        <v>8</v>
      </c>
      <c r="H369" s="10">
        <v>30</v>
      </c>
    </row>
    <row r="370" spans="1:8" x14ac:dyDescent="0.15">
      <c r="H370" s="10"/>
    </row>
    <row r="371" spans="1:8" ht="42" x14ac:dyDescent="0.15">
      <c r="A371" s="7">
        <v>7.14</v>
      </c>
      <c r="B371" s="33" t="s">
        <v>745</v>
      </c>
      <c r="C371" s="51" t="s">
        <v>83</v>
      </c>
      <c r="D371" s="38" t="s">
        <v>610</v>
      </c>
      <c r="E371" s="48" t="s">
        <v>8</v>
      </c>
      <c r="H371" s="10">
        <v>150</v>
      </c>
    </row>
    <row r="372" spans="1:8" x14ac:dyDescent="0.15">
      <c r="C372" s="51"/>
      <c r="D372" s="51"/>
      <c r="E372" s="48"/>
      <c r="H372" s="10"/>
    </row>
    <row r="373" spans="1:8" ht="14" x14ac:dyDescent="0.15">
      <c r="B373" s="33"/>
      <c r="C373" s="1" t="s">
        <v>213</v>
      </c>
      <c r="H373" s="10"/>
    </row>
    <row r="375" spans="1:8" ht="42" x14ac:dyDescent="0.15">
      <c r="A375" s="7">
        <v>7.15</v>
      </c>
      <c r="B375" s="33" t="s">
        <v>747</v>
      </c>
      <c r="C375" s="38" t="s">
        <v>191</v>
      </c>
      <c r="D375" s="41" t="s">
        <v>15</v>
      </c>
      <c r="E375" s="48" t="s">
        <v>76</v>
      </c>
      <c r="F375" s="48">
        <v>9</v>
      </c>
      <c r="G375" s="49">
        <v>9</v>
      </c>
      <c r="H375" s="10">
        <f>SUM(F375*G375)</f>
        <v>81</v>
      </c>
    </row>
    <row r="377" spans="1:8" ht="28" x14ac:dyDescent="0.15">
      <c r="A377" s="7">
        <v>7.16</v>
      </c>
      <c r="B377" s="33" t="s">
        <v>743</v>
      </c>
      <c r="C377" s="41" t="s">
        <v>214</v>
      </c>
      <c r="D377" s="52" t="s">
        <v>19</v>
      </c>
      <c r="E377" s="48" t="s">
        <v>10</v>
      </c>
      <c r="F377" s="48">
        <v>1</v>
      </c>
      <c r="G377" s="53">
        <v>10</v>
      </c>
      <c r="H377" s="10">
        <f>SUM(F377*G377)</f>
        <v>10</v>
      </c>
    </row>
    <row r="379" spans="1:8" ht="28" x14ac:dyDescent="0.15">
      <c r="A379" s="7">
        <v>7.17</v>
      </c>
      <c r="B379" s="33" t="s">
        <v>747</v>
      </c>
      <c r="C379" s="38" t="s">
        <v>215</v>
      </c>
      <c r="D379" s="38" t="s">
        <v>102</v>
      </c>
      <c r="E379" s="48" t="s">
        <v>76</v>
      </c>
      <c r="F379" s="48">
        <v>33</v>
      </c>
      <c r="G379" s="10">
        <v>8</v>
      </c>
      <c r="H379" s="10">
        <f>SUM(F379*G379)</f>
        <v>264</v>
      </c>
    </row>
    <row r="381" spans="1:8" ht="28" x14ac:dyDescent="0.15">
      <c r="A381" s="7">
        <v>7.18</v>
      </c>
      <c r="B381" s="33" t="s">
        <v>747</v>
      </c>
      <c r="C381" s="11" t="s">
        <v>78</v>
      </c>
      <c r="D381" s="11" t="s">
        <v>792</v>
      </c>
      <c r="E381" s="8" t="s">
        <v>11</v>
      </c>
      <c r="F381" s="8">
        <v>7</v>
      </c>
      <c r="G381" s="10">
        <v>5</v>
      </c>
      <c r="H381" s="10">
        <f>SUM(F381*G381)</f>
        <v>35</v>
      </c>
    </row>
    <row r="382" spans="1:8" x14ac:dyDescent="0.15">
      <c r="B382" s="33"/>
    </row>
    <row r="383" spans="1:8" ht="14" x14ac:dyDescent="0.15">
      <c r="A383" s="7">
        <v>7.19</v>
      </c>
      <c r="B383" s="33" t="s">
        <v>743</v>
      </c>
      <c r="C383" s="41" t="s">
        <v>216</v>
      </c>
      <c r="D383" s="41" t="s">
        <v>217</v>
      </c>
      <c r="E383" s="48" t="s">
        <v>76</v>
      </c>
      <c r="F383" s="48">
        <v>9</v>
      </c>
      <c r="G383" s="49">
        <v>48</v>
      </c>
      <c r="H383" s="10">
        <f>SUM(F383*G383)</f>
        <v>432</v>
      </c>
    </row>
    <row r="384" spans="1:8" x14ac:dyDescent="0.15">
      <c r="C384" s="41"/>
      <c r="D384" s="41"/>
      <c r="E384" s="48"/>
      <c r="F384" s="48"/>
      <c r="G384" s="49"/>
      <c r="H384" s="10"/>
    </row>
    <row r="385" spans="1:8" ht="28" x14ac:dyDescent="0.15">
      <c r="A385" s="7">
        <v>7.2</v>
      </c>
      <c r="B385" s="33" t="s">
        <v>750</v>
      </c>
      <c r="C385" s="11" t="s">
        <v>612</v>
      </c>
      <c r="D385" s="11" t="s">
        <v>81</v>
      </c>
      <c r="E385" s="8" t="s">
        <v>10</v>
      </c>
      <c r="F385" s="8">
        <v>1</v>
      </c>
      <c r="G385" s="10">
        <v>25</v>
      </c>
      <c r="H385" s="10">
        <f>SUM(F385*G385)</f>
        <v>25</v>
      </c>
    </row>
    <row r="386" spans="1:8" x14ac:dyDescent="0.15">
      <c r="C386" s="11"/>
      <c r="D386" s="11"/>
      <c r="F386" s="8"/>
    </row>
    <row r="387" spans="1:8" ht="28" x14ac:dyDescent="0.15">
      <c r="A387" s="7">
        <v>7.21</v>
      </c>
      <c r="B387" s="33" t="s">
        <v>743</v>
      </c>
      <c r="C387" s="5" t="s">
        <v>218</v>
      </c>
      <c r="D387" s="5" t="s">
        <v>219</v>
      </c>
      <c r="E387" s="8" t="s">
        <v>8</v>
      </c>
      <c r="H387" s="10">
        <v>30</v>
      </c>
    </row>
    <row r="389" spans="1:8" ht="28" x14ac:dyDescent="0.15">
      <c r="A389" s="7">
        <v>7.22</v>
      </c>
      <c r="B389" s="33" t="s">
        <v>743</v>
      </c>
      <c r="C389" s="5" t="s">
        <v>198</v>
      </c>
      <c r="D389" s="5" t="s">
        <v>220</v>
      </c>
      <c r="E389" s="8" t="s">
        <v>8</v>
      </c>
      <c r="H389" s="10">
        <v>20</v>
      </c>
    </row>
    <row r="391" spans="1:8" ht="14" x14ac:dyDescent="0.15">
      <c r="A391" s="7">
        <v>7.23</v>
      </c>
      <c r="B391" s="33" t="s">
        <v>743</v>
      </c>
      <c r="C391" s="5" t="s">
        <v>17</v>
      </c>
      <c r="D391" s="5" t="s">
        <v>547</v>
      </c>
      <c r="E391" s="8" t="s">
        <v>10</v>
      </c>
      <c r="F391" s="9">
        <v>1</v>
      </c>
      <c r="G391" s="10">
        <v>10</v>
      </c>
      <c r="H391" s="10">
        <f>SUM(F391*G391)</f>
        <v>10</v>
      </c>
    </row>
    <row r="393" spans="1:8" ht="28" x14ac:dyDescent="0.15">
      <c r="A393" s="7">
        <v>7.24</v>
      </c>
      <c r="B393" s="33" t="s">
        <v>745</v>
      </c>
      <c r="C393" s="5" t="s">
        <v>221</v>
      </c>
      <c r="D393" s="5" t="s">
        <v>222</v>
      </c>
      <c r="E393" s="8" t="s">
        <v>8</v>
      </c>
      <c r="H393" s="10">
        <v>30</v>
      </c>
    </row>
    <row r="394" spans="1:8" x14ac:dyDescent="0.15">
      <c r="C394" s="1"/>
      <c r="H394" s="10"/>
    </row>
    <row r="395" spans="1:8" ht="14" x14ac:dyDescent="0.15">
      <c r="A395" s="7">
        <v>7.25</v>
      </c>
      <c r="B395" s="33" t="s">
        <v>743</v>
      </c>
      <c r="C395" s="5" t="s">
        <v>613</v>
      </c>
      <c r="D395" s="5" t="s">
        <v>614</v>
      </c>
      <c r="E395" s="8" t="s">
        <v>8</v>
      </c>
      <c r="H395" s="10">
        <v>200</v>
      </c>
    </row>
    <row r="396" spans="1:8" x14ac:dyDescent="0.15">
      <c r="H396" s="10"/>
    </row>
    <row r="397" spans="1:8" ht="28" x14ac:dyDescent="0.15">
      <c r="A397" s="7">
        <v>7.26</v>
      </c>
      <c r="B397" s="33" t="s">
        <v>743</v>
      </c>
      <c r="C397" s="5" t="s">
        <v>223</v>
      </c>
      <c r="D397" s="5" t="s">
        <v>795</v>
      </c>
      <c r="E397" s="8" t="s">
        <v>8</v>
      </c>
      <c r="H397" s="10">
        <v>10</v>
      </c>
    </row>
    <row r="399" spans="1:8" ht="28" x14ac:dyDescent="0.15">
      <c r="A399" s="7">
        <v>7.27</v>
      </c>
      <c r="B399" s="33" t="s">
        <v>743</v>
      </c>
      <c r="C399" s="5" t="s">
        <v>615</v>
      </c>
      <c r="D399" s="5" t="s">
        <v>224</v>
      </c>
      <c r="E399" s="8" t="s">
        <v>8</v>
      </c>
      <c r="H399" s="10">
        <v>200</v>
      </c>
    </row>
    <row r="401" spans="1:8" ht="14" x14ac:dyDescent="0.15">
      <c r="C401" s="1" t="s">
        <v>225</v>
      </c>
    </row>
    <row r="402" spans="1:8" x14ac:dyDescent="0.15">
      <c r="C402" s="1"/>
      <c r="H402" s="19"/>
    </row>
    <row r="403" spans="1:8" ht="42" x14ac:dyDescent="0.15">
      <c r="A403" s="7">
        <v>7.28</v>
      </c>
      <c r="B403" s="33" t="s">
        <v>747</v>
      </c>
      <c r="C403" s="38" t="s">
        <v>191</v>
      </c>
      <c r="D403" s="41" t="s">
        <v>15</v>
      </c>
      <c r="E403" s="48" t="s">
        <v>76</v>
      </c>
      <c r="F403" s="48">
        <v>14</v>
      </c>
      <c r="G403" s="49">
        <v>9</v>
      </c>
      <c r="H403" s="10">
        <f>SUM(F403*G403)</f>
        <v>126</v>
      </c>
    </row>
    <row r="405" spans="1:8" ht="28" x14ac:dyDescent="0.15">
      <c r="A405" s="7">
        <v>7.29</v>
      </c>
      <c r="B405" s="33" t="s">
        <v>743</v>
      </c>
      <c r="C405" s="38" t="s">
        <v>227</v>
      </c>
      <c r="D405" s="52" t="s">
        <v>226</v>
      </c>
      <c r="E405" s="48" t="s">
        <v>10</v>
      </c>
      <c r="F405" s="48">
        <v>2</v>
      </c>
      <c r="G405" s="53">
        <v>80</v>
      </c>
      <c r="H405" s="10">
        <f>SUM(F405*G405)</f>
        <v>160</v>
      </c>
    </row>
    <row r="407" spans="1:8" ht="28" x14ac:dyDescent="0.15">
      <c r="A407" s="7">
        <v>7.3</v>
      </c>
      <c r="B407" s="33" t="s">
        <v>747</v>
      </c>
      <c r="C407" s="38" t="s">
        <v>215</v>
      </c>
      <c r="D407" s="38" t="s">
        <v>102</v>
      </c>
      <c r="E407" s="48" t="s">
        <v>76</v>
      </c>
      <c r="F407" s="48">
        <v>42</v>
      </c>
      <c r="G407" s="10">
        <v>8</v>
      </c>
      <c r="H407" s="10">
        <f>SUM(F407*G407)</f>
        <v>336</v>
      </c>
    </row>
    <row r="409" spans="1:8" ht="14" x14ac:dyDescent="0.15">
      <c r="A409" s="7">
        <v>7.31</v>
      </c>
      <c r="B409" s="33" t="s">
        <v>743</v>
      </c>
      <c r="C409" s="5" t="s">
        <v>616</v>
      </c>
      <c r="D409" s="5" t="s">
        <v>617</v>
      </c>
      <c r="E409" s="8" t="s">
        <v>8</v>
      </c>
      <c r="H409" s="20">
        <v>20</v>
      </c>
    </row>
    <row r="411" spans="1:8" ht="28" x14ac:dyDescent="0.15">
      <c r="A411" s="7">
        <v>7.32</v>
      </c>
      <c r="B411" s="33" t="s">
        <v>747</v>
      </c>
      <c r="C411" s="11" t="s">
        <v>78</v>
      </c>
      <c r="D411" s="11" t="s">
        <v>792</v>
      </c>
      <c r="E411" s="8" t="s">
        <v>11</v>
      </c>
      <c r="F411" s="8">
        <v>15</v>
      </c>
      <c r="G411" s="10">
        <v>5</v>
      </c>
      <c r="H411" s="10">
        <f>SUM(F411*G411)</f>
        <v>75</v>
      </c>
    </row>
    <row r="413" spans="1:8" ht="28" x14ac:dyDescent="0.15">
      <c r="A413" s="7">
        <v>7.33</v>
      </c>
      <c r="B413" s="33" t="s">
        <v>743</v>
      </c>
      <c r="C413" s="38" t="s">
        <v>228</v>
      </c>
      <c r="D413" s="41" t="s">
        <v>206</v>
      </c>
      <c r="E413" s="48" t="s">
        <v>76</v>
      </c>
      <c r="F413" s="48">
        <v>14</v>
      </c>
      <c r="G413" s="49">
        <v>48</v>
      </c>
      <c r="H413" s="10">
        <f>SUM(F413*G413)</f>
        <v>672</v>
      </c>
    </row>
    <row r="415" spans="1:8" ht="28" x14ac:dyDescent="0.15">
      <c r="A415" s="7">
        <v>7.34</v>
      </c>
      <c r="B415" s="33" t="s">
        <v>751</v>
      </c>
      <c r="C415" s="11" t="s">
        <v>582</v>
      </c>
      <c r="D415" s="11" t="s">
        <v>81</v>
      </c>
      <c r="E415" s="8" t="s">
        <v>10</v>
      </c>
      <c r="F415" s="8">
        <v>1</v>
      </c>
      <c r="G415" s="10">
        <v>25</v>
      </c>
      <c r="H415" s="10">
        <f>SUM(F415*G415)</f>
        <v>25</v>
      </c>
    </row>
    <row r="417" spans="1:8" ht="28" x14ac:dyDescent="0.15">
      <c r="A417" s="7">
        <v>7.35</v>
      </c>
      <c r="B417" s="33" t="s">
        <v>745</v>
      </c>
      <c r="C417" s="5" t="s">
        <v>229</v>
      </c>
      <c r="D417" s="5" t="s">
        <v>749</v>
      </c>
      <c r="E417" s="8" t="s">
        <v>8</v>
      </c>
      <c r="H417" s="20">
        <v>80</v>
      </c>
    </row>
    <row r="419" spans="1:8" ht="28" x14ac:dyDescent="0.15">
      <c r="A419" s="7">
        <v>7.36</v>
      </c>
      <c r="B419" s="33" t="s">
        <v>743</v>
      </c>
      <c r="C419" s="5" t="s">
        <v>618</v>
      </c>
      <c r="D419" s="5" t="s">
        <v>619</v>
      </c>
      <c r="E419" s="8" t="s">
        <v>8</v>
      </c>
      <c r="H419" s="20">
        <v>100</v>
      </c>
    </row>
    <row r="423" spans="1:8" ht="14" x14ac:dyDescent="0.15">
      <c r="C423" s="1" t="s">
        <v>9</v>
      </c>
      <c r="H423" s="19">
        <f>SUM(H5:H422)</f>
        <v>43723</v>
      </c>
    </row>
  </sheetData>
  <printOptions horizontalCentered="1" verticalCentered="1" gridLines="1"/>
  <pageMargins left="0.35433070866141736" right="0.55118110236220474" top="0.74803149606299213" bottom="0.74803149606299213" header="0.39370078740157483" footer="0.39370078740157483"/>
  <pageSetup paperSize="9" scale="76" firstPageNumber="9" orientation="portrait" useFirstPageNumber="1" r:id="rId1"/>
  <headerFooter>
    <oddHeader xml:space="preserve">&amp;L&amp;K608097175 Glasgow Road, Clydebank&amp;R&amp;K608097Terminal Schedule of Dilapidations    </oddHeader>
    <oddFooter>&amp;L&amp;K608097Melville Gomes Associates &amp;C&amp;K608097&amp;P&amp;R&amp;K608097Chartered Building Surveyors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E1B65-F338-4119-9DE0-CA25F6800100}">
  <sheetPr>
    <tabColor theme="3" tint="0.39997558519241921"/>
  </sheetPr>
  <dimension ref="A1:I887"/>
  <sheetViews>
    <sheetView zoomScaleNormal="100" zoomScaleSheetLayoutView="100" zoomScalePageLayoutView="119" workbookViewId="0">
      <selection activeCell="D236" sqref="D236"/>
    </sheetView>
  </sheetViews>
  <sheetFormatPr baseColWidth="10" defaultColWidth="5.6640625" defaultRowHeight="13" x14ac:dyDescent="0.15"/>
  <cols>
    <col min="1" max="1" width="8" style="7" customWidth="1"/>
    <col min="2" max="2" width="8" style="4" customWidth="1"/>
    <col min="3" max="3" width="39.83203125" style="5" customWidth="1"/>
    <col min="4" max="4" width="34.83203125" style="5" customWidth="1"/>
    <col min="5" max="5" width="6" style="8" customWidth="1"/>
    <col min="6" max="6" width="7.33203125" style="9" customWidth="1"/>
    <col min="7" max="7" width="8" style="10" customWidth="1"/>
    <col min="8" max="8" width="11" style="20" customWidth="1"/>
    <col min="9" max="16384" width="5.6640625" style="2"/>
  </cols>
  <sheetData>
    <row r="1" spans="1:8" s="6" customFormat="1" ht="30" x14ac:dyDescent="0.15">
      <c r="A1" s="32" t="s">
        <v>0</v>
      </c>
      <c r="B1" s="30" t="s">
        <v>1</v>
      </c>
      <c r="C1" s="23" t="s">
        <v>2</v>
      </c>
      <c r="D1" s="23" t="s">
        <v>3</v>
      </c>
      <c r="E1" s="23" t="s">
        <v>4</v>
      </c>
      <c r="F1" s="24" t="s">
        <v>5</v>
      </c>
      <c r="G1" s="25" t="s">
        <v>6</v>
      </c>
      <c r="H1" s="25" t="s">
        <v>7</v>
      </c>
    </row>
    <row r="2" spans="1:8" s="15" customFormat="1" x14ac:dyDescent="0.15">
      <c r="A2" s="7"/>
      <c r="B2" s="8"/>
      <c r="C2" s="11"/>
      <c r="D2" s="11"/>
      <c r="E2" s="8"/>
      <c r="F2" s="8"/>
      <c r="G2" s="10"/>
      <c r="H2" s="10"/>
    </row>
    <row r="3" spans="1:8" s="15" customFormat="1" ht="14" x14ac:dyDescent="0.15">
      <c r="A3" s="3">
        <v>8</v>
      </c>
      <c r="B3" s="8"/>
      <c r="C3" s="14" t="s">
        <v>244</v>
      </c>
      <c r="D3" s="11"/>
      <c r="E3" s="11"/>
      <c r="F3" s="11"/>
      <c r="G3" s="40"/>
      <c r="H3" s="40"/>
    </row>
    <row r="4" spans="1:8" s="15" customFormat="1" x14ac:dyDescent="0.15">
      <c r="A4" s="7"/>
      <c r="B4" s="8"/>
      <c r="C4" s="11"/>
      <c r="D4" s="11"/>
      <c r="E4" s="8"/>
      <c r="F4" s="9"/>
      <c r="G4" s="10"/>
      <c r="H4" s="10"/>
    </row>
    <row r="5" spans="1:8" s="15" customFormat="1" ht="14" x14ac:dyDescent="0.15">
      <c r="B5" s="8"/>
      <c r="C5" s="14" t="s">
        <v>802</v>
      </c>
      <c r="D5" s="11"/>
      <c r="E5" s="8"/>
      <c r="F5" s="8"/>
      <c r="G5" s="10"/>
      <c r="H5" s="10"/>
    </row>
    <row r="6" spans="1:8" s="15" customFormat="1" x14ac:dyDescent="0.15">
      <c r="A6" s="3"/>
      <c r="B6" s="8"/>
      <c r="D6" s="11"/>
      <c r="E6" s="8"/>
      <c r="F6" s="8"/>
      <c r="G6" s="10"/>
      <c r="H6" s="10"/>
    </row>
    <row r="7" spans="1:8" s="15" customFormat="1" ht="28" x14ac:dyDescent="0.15">
      <c r="A7" s="7">
        <v>8.01</v>
      </c>
      <c r="B7" s="8" t="s">
        <v>747</v>
      </c>
      <c r="C7" s="11" t="s">
        <v>620</v>
      </c>
      <c r="D7" s="11" t="s">
        <v>621</v>
      </c>
      <c r="E7" s="48" t="s">
        <v>76</v>
      </c>
      <c r="F7" s="8">
        <v>20</v>
      </c>
      <c r="G7" s="10">
        <v>9</v>
      </c>
      <c r="H7" s="10">
        <f>SUM(F7*G7)</f>
        <v>180</v>
      </c>
    </row>
    <row r="8" spans="1:8" s="15" customFormat="1" x14ac:dyDescent="0.15">
      <c r="A8" s="7"/>
      <c r="B8" s="8"/>
      <c r="C8" s="11"/>
      <c r="D8" s="11"/>
      <c r="E8" s="8"/>
      <c r="F8" s="8"/>
      <c r="G8" s="10"/>
      <c r="H8" s="10"/>
    </row>
    <row r="9" spans="1:8" s="15" customFormat="1" ht="28" x14ac:dyDescent="0.15">
      <c r="A9" s="7">
        <v>8.02</v>
      </c>
      <c r="B9" s="33" t="s">
        <v>743</v>
      </c>
      <c r="C9" s="38" t="s">
        <v>622</v>
      </c>
      <c r="D9" s="38" t="s">
        <v>16</v>
      </c>
      <c r="E9" s="50" t="s">
        <v>10</v>
      </c>
      <c r="F9" s="48">
        <v>9</v>
      </c>
      <c r="G9" s="10">
        <v>10</v>
      </c>
      <c r="H9" s="10">
        <f>SUM(F9*G9)</f>
        <v>90</v>
      </c>
    </row>
    <row r="10" spans="1:8" s="15" customFormat="1" x14ac:dyDescent="0.15">
      <c r="A10" s="7"/>
      <c r="B10" s="33"/>
      <c r="C10" s="11"/>
      <c r="D10" s="11"/>
      <c r="E10" s="8"/>
      <c r="F10" s="34"/>
      <c r="G10" s="10"/>
      <c r="H10" s="36"/>
    </row>
    <row r="11" spans="1:8" s="15" customFormat="1" ht="14" x14ac:dyDescent="0.15">
      <c r="A11" s="7">
        <v>8.0299999999999994</v>
      </c>
      <c r="B11" s="44" t="s">
        <v>747</v>
      </c>
      <c r="C11" s="11" t="s">
        <v>570</v>
      </c>
      <c r="D11" s="11" t="s">
        <v>623</v>
      </c>
      <c r="E11" s="8" t="s">
        <v>11</v>
      </c>
      <c r="F11" s="8">
        <v>21</v>
      </c>
      <c r="G11" s="10">
        <v>12</v>
      </c>
      <c r="H11" s="10">
        <f>SUM(F11*G11)</f>
        <v>252</v>
      </c>
    </row>
    <row r="12" spans="1:8" s="15" customFormat="1" x14ac:dyDescent="0.15">
      <c r="A12" s="7"/>
      <c r="B12" s="33"/>
      <c r="C12" s="11"/>
      <c r="D12" s="11"/>
      <c r="E12" s="8"/>
      <c r="F12" s="8"/>
      <c r="G12" s="10"/>
      <c r="H12" s="10"/>
    </row>
    <row r="13" spans="1:8" s="15" customFormat="1" ht="28" x14ac:dyDescent="0.15">
      <c r="A13" s="7">
        <v>8.0399999999999991</v>
      </c>
      <c r="B13" s="44" t="s">
        <v>747</v>
      </c>
      <c r="C13" s="38" t="s">
        <v>624</v>
      </c>
      <c r="D13" s="38" t="s">
        <v>625</v>
      </c>
      <c r="E13" s="48" t="s">
        <v>76</v>
      </c>
      <c r="F13" s="48">
        <v>43</v>
      </c>
      <c r="G13" s="10">
        <v>15</v>
      </c>
      <c r="H13" s="10">
        <f>SUM(F13*G13)</f>
        <v>645</v>
      </c>
    </row>
    <row r="14" spans="1:8" s="15" customFormat="1" x14ac:dyDescent="0.15">
      <c r="A14" s="7"/>
      <c r="B14" s="31"/>
      <c r="C14" s="38"/>
      <c r="D14" s="38"/>
      <c r="E14" s="48"/>
      <c r="F14" s="48"/>
      <c r="G14" s="10"/>
      <c r="H14" s="10"/>
    </row>
    <row r="15" spans="1:8" s="15" customFormat="1" ht="28" x14ac:dyDescent="0.15">
      <c r="A15" s="7">
        <v>8.0500000000000007</v>
      </c>
      <c r="B15" s="44" t="s">
        <v>747</v>
      </c>
      <c r="C15" s="38" t="s">
        <v>627</v>
      </c>
      <c r="D15" s="38" t="s">
        <v>729</v>
      </c>
      <c r="E15" s="48" t="s">
        <v>76</v>
      </c>
      <c r="F15" s="48">
        <v>7</v>
      </c>
      <c r="G15" s="10">
        <v>30</v>
      </c>
      <c r="H15" s="10">
        <f>SUM(F15*G15)</f>
        <v>210</v>
      </c>
    </row>
    <row r="16" spans="1:8" s="15" customFormat="1" x14ac:dyDescent="0.15">
      <c r="A16" s="7"/>
      <c r="B16" s="8"/>
      <c r="C16" s="14"/>
      <c r="D16" s="11"/>
      <c r="E16" s="8"/>
      <c r="F16" s="8"/>
      <c r="G16" s="10"/>
      <c r="H16" s="10"/>
    </row>
    <row r="17" spans="1:8" s="15" customFormat="1" ht="28" x14ac:dyDescent="0.15">
      <c r="A17" s="7">
        <v>8.06</v>
      </c>
      <c r="B17" s="44" t="s">
        <v>747</v>
      </c>
      <c r="C17" s="11" t="s">
        <v>556</v>
      </c>
      <c r="D17" s="11" t="s">
        <v>789</v>
      </c>
      <c r="E17" s="8" t="s">
        <v>11</v>
      </c>
      <c r="F17" s="8">
        <v>20</v>
      </c>
      <c r="G17" s="10">
        <v>7</v>
      </c>
      <c r="H17" s="10">
        <f>SUM(F17*G17)</f>
        <v>140</v>
      </c>
    </row>
    <row r="18" spans="1:8" s="15" customFormat="1" x14ac:dyDescent="0.15">
      <c r="A18" s="7"/>
      <c r="B18" s="33"/>
      <c r="C18" s="11"/>
      <c r="D18" s="11"/>
      <c r="E18" s="8"/>
      <c r="F18" s="8"/>
      <c r="G18" s="10"/>
      <c r="H18" s="10"/>
    </row>
    <row r="19" spans="1:8" s="15" customFormat="1" ht="14" x14ac:dyDescent="0.15">
      <c r="A19" s="7">
        <v>8.07</v>
      </c>
      <c r="B19" s="33" t="s">
        <v>743</v>
      </c>
      <c r="C19" s="11" t="s">
        <v>628</v>
      </c>
      <c r="D19" s="11" t="s">
        <v>248</v>
      </c>
      <c r="E19" s="48" t="s">
        <v>76</v>
      </c>
      <c r="F19" s="8">
        <v>20</v>
      </c>
      <c r="G19" s="10">
        <v>48</v>
      </c>
      <c r="H19" s="10">
        <f>SUM(F19*G19)</f>
        <v>960</v>
      </c>
    </row>
    <row r="20" spans="1:8" s="15" customFormat="1" x14ac:dyDescent="0.15">
      <c r="A20" s="7"/>
      <c r="B20" s="8"/>
      <c r="C20" s="11"/>
      <c r="D20" s="11"/>
      <c r="E20" s="8"/>
      <c r="F20" s="8"/>
      <c r="G20" s="10"/>
      <c r="H20" s="10"/>
    </row>
    <row r="21" spans="1:8" s="37" customFormat="1" ht="28" x14ac:dyDescent="0.15">
      <c r="A21" s="7">
        <v>8.08</v>
      </c>
      <c r="B21" s="33" t="s">
        <v>745</v>
      </c>
      <c r="C21" s="38" t="s">
        <v>109</v>
      </c>
      <c r="D21" s="38" t="s">
        <v>110</v>
      </c>
      <c r="E21" s="48" t="s">
        <v>8</v>
      </c>
      <c r="F21" s="8"/>
      <c r="G21" s="10"/>
      <c r="H21" s="10" t="s">
        <v>26</v>
      </c>
    </row>
    <row r="22" spans="1:8" s="37" customFormat="1" x14ac:dyDescent="0.15">
      <c r="A22" s="7"/>
      <c r="B22" s="44"/>
      <c r="C22" s="14"/>
      <c r="E22" s="44"/>
      <c r="F22" s="44"/>
      <c r="G22" s="36"/>
      <c r="H22" s="36"/>
    </row>
    <row r="23" spans="1:8" s="15" customFormat="1" ht="28" x14ac:dyDescent="0.15">
      <c r="A23" s="7">
        <v>8.09</v>
      </c>
      <c r="B23" s="33" t="s">
        <v>743</v>
      </c>
      <c r="C23" s="5" t="s">
        <v>629</v>
      </c>
      <c r="D23" s="5" t="s">
        <v>630</v>
      </c>
      <c r="E23" s="8" t="s">
        <v>10</v>
      </c>
      <c r="F23" s="9">
        <v>2</v>
      </c>
      <c r="G23" s="10">
        <v>10</v>
      </c>
      <c r="H23" s="10">
        <f>SUM(F23*G23)</f>
        <v>20</v>
      </c>
    </row>
    <row r="24" spans="1:8" s="15" customFormat="1" x14ac:dyDescent="0.15">
      <c r="A24" s="7"/>
      <c r="B24" s="33"/>
      <c r="C24" s="11"/>
      <c r="D24" s="11"/>
      <c r="E24" s="8"/>
      <c r="F24" s="8"/>
      <c r="G24" s="10"/>
      <c r="H24" s="10"/>
    </row>
    <row r="25" spans="1:8" s="15" customFormat="1" ht="42" x14ac:dyDescent="0.15">
      <c r="A25" s="7">
        <v>8.1</v>
      </c>
      <c r="B25" s="44" t="s">
        <v>746</v>
      </c>
      <c r="C25" s="11" t="s">
        <v>582</v>
      </c>
      <c r="D25" s="11" t="s">
        <v>730</v>
      </c>
      <c r="E25" s="8" t="s">
        <v>10</v>
      </c>
      <c r="F25" s="8">
        <v>4</v>
      </c>
      <c r="G25" s="10">
        <v>75</v>
      </c>
      <c r="H25" s="10">
        <f>SUM(F25*G25)</f>
        <v>300</v>
      </c>
    </row>
    <row r="26" spans="1:8" s="15" customFormat="1" x14ac:dyDescent="0.15">
      <c r="A26" s="7"/>
      <c r="B26" s="8"/>
      <c r="C26" s="11"/>
      <c r="D26" s="11"/>
      <c r="E26" s="8"/>
      <c r="F26" s="8"/>
      <c r="G26" s="10"/>
      <c r="H26" s="10"/>
    </row>
    <row r="27" spans="1:8" s="15" customFormat="1" ht="42" x14ac:dyDescent="0.15">
      <c r="A27" s="7">
        <v>8.11</v>
      </c>
      <c r="B27" s="44" t="s">
        <v>747</v>
      </c>
      <c r="C27" s="11" t="s">
        <v>270</v>
      </c>
      <c r="D27" s="11" t="s">
        <v>269</v>
      </c>
      <c r="E27" s="8" t="s">
        <v>8</v>
      </c>
      <c r="F27" s="8"/>
      <c r="G27" s="10"/>
      <c r="H27" s="10">
        <v>100</v>
      </c>
    </row>
    <row r="28" spans="1:8" s="15" customFormat="1" x14ac:dyDescent="0.15">
      <c r="A28" s="7"/>
      <c r="B28" s="31"/>
      <c r="C28" s="11"/>
      <c r="D28" s="11"/>
      <c r="E28" s="8"/>
      <c r="F28" s="8"/>
      <c r="G28" s="10"/>
      <c r="H28" s="10"/>
    </row>
    <row r="29" spans="1:8" s="15" customFormat="1" ht="28" x14ac:dyDescent="0.15">
      <c r="A29" s="7">
        <v>8.1199999999999992</v>
      </c>
      <c r="B29" s="33" t="s">
        <v>745</v>
      </c>
      <c r="C29" s="11" t="s">
        <v>631</v>
      </c>
      <c r="D29" s="11" t="s">
        <v>757</v>
      </c>
      <c r="E29" s="8" t="s">
        <v>8</v>
      </c>
      <c r="F29" s="8"/>
      <c r="G29" s="10"/>
      <c r="H29" s="10">
        <v>150</v>
      </c>
    </row>
    <row r="30" spans="1:8" s="15" customFormat="1" x14ac:dyDescent="0.15">
      <c r="A30" s="7"/>
      <c r="B30" s="31"/>
      <c r="C30" s="11"/>
      <c r="D30" s="11"/>
      <c r="E30" s="8"/>
      <c r="F30" s="8"/>
      <c r="G30" s="10"/>
      <c r="H30" s="10"/>
    </row>
    <row r="31" spans="1:8" s="15" customFormat="1" ht="28" x14ac:dyDescent="0.15">
      <c r="A31" s="7">
        <v>8.1300000000000008</v>
      </c>
      <c r="B31" s="33" t="s">
        <v>745</v>
      </c>
      <c r="C31" s="11" t="s">
        <v>632</v>
      </c>
      <c r="D31" s="11" t="s">
        <v>634</v>
      </c>
      <c r="E31" s="8" t="s">
        <v>30</v>
      </c>
      <c r="F31" s="8"/>
      <c r="G31" s="10"/>
      <c r="H31" s="10">
        <v>100</v>
      </c>
    </row>
    <row r="32" spans="1:8" s="15" customFormat="1" x14ac:dyDescent="0.15">
      <c r="A32" s="7"/>
      <c r="B32" s="8"/>
      <c r="C32" s="37"/>
      <c r="D32" s="11"/>
      <c r="E32" s="8"/>
      <c r="F32" s="8"/>
      <c r="G32" s="10"/>
      <c r="H32" s="10"/>
    </row>
    <row r="33" spans="1:8" s="15" customFormat="1" ht="14" x14ac:dyDescent="0.15">
      <c r="A33" s="7"/>
      <c r="B33" s="31"/>
      <c r="C33" s="14" t="s">
        <v>249</v>
      </c>
      <c r="D33" s="11"/>
      <c r="E33" s="8"/>
      <c r="F33" s="9"/>
      <c r="G33" s="10"/>
      <c r="H33" s="10"/>
    </row>
    <row r="34" spans="1:8" s="15" customFormat="1" x14ac:dyDescent="0.15">
      <c r="A34" s="7"/>
      <c r="B34" s="8"/>
      <c r="C34" s="37"/>
      <c r="D34" s="37"/>
      <c r="E34" s="44"/>
      <c r="F34" s="34"/>
      <c r="G34" s="36"/>
      <c r="H34" s="36"/>
    </row>
    <row r="35" spans="1:8" s="15" customFormat="1" ht="28" x14ac:dyDescent="0.15">
      <c r="A35" s="7">
        <v>8.14</v>
      </c>
      <c r="B35" s="44" t="s">
        <v>747</v>
      </c>
      <c r="C35" s="11" t="s">
        <v>620</v>
      </c>
      <c r="D35" s="11" t="s">
        <v>621</v>
      </c>
      <c r="E35" s="48" t="s">
        <v>76</v>
      </c>
      <c r="F35" s="8">
        <v>20</v>
      </c>
      <c r="G35" s="10">
        <v>9</v>
      </c>
      <c r="H35" s="10">
        <f>SUM(F35*G35)</f>
        <v>180</v>
      </c>
    </row>
    <row r="36" spans="1:8" s="15" customFormat="1" x14ac:dyDescent="0.15">
      <c r="A36" s="7"/>
      <c r="B36" s="31"/>
      <c r="C36" s="11"/>
      <c r="D36" s="11"/>
      <c r="E36" s="48"/>
      <c r="F36" s="8"/>
      <c r="G36" s="10"/>
      <c r="H36" s="10"/>
    </row>
    <row r="37" spans="1:8" s="15" customFormat="1" ht="14" x14ac:dyDescent="0.15">
      <c r="A37" s="7">
        <v>8.15</v>
      </c>
      <c r="B37" s="33" t="s">
        <v>743</v>
      </c>
      <c r="C37" s="11" t="s">
        <v>642</v>
      </c>
      <c r="D37" s="11" t="s">
        <v>640</v>
      </c>
      <c r="E37" s="48" t="s">
        <v>76</v>
      </c>
      <c r="F37" s="8">
        <v>3</v>
      </c>
      <c r="G37" s="10">
        <v>9</v>
      </c>
      <c r="H37" s="10">
        <f>SUM(F37*G37)</f>
        <v>27</v>
      </c>
    </row>
    <row r="38" spans="1:8" s="15" customFormat="1" x14ac:dyDescent="0.15">
      <c r="A38" s="7"/>
      <c r="B38" s="31"/>
      <c r="C38" s="11"/>
      <c r="D38" s="11"/>
      <c r="E38" s="48"/>
      <c r="F38" s="8"/>
      <c r="G38" s="10"/>
      <c r="H38" s="10"/>
    </row>
    <row r="39" spans="1:8" s="15" customFormat="1" ht="42" x14ac:dyDescent="0.15">
      <c r="A39" s="7">
        <v>8.16</v>
      </c>
      <c r="B39" s="33" t="s">
        <v>743</v>
      </c>
      <c r="C39" s="11" t="s">
        <v>635</v>
      </c>
      <c r="D39" s="11" t="s">
        <v>636</v>
      </c>
      <c r="E39" s="8" t="s">
        <v>8</v>
      </c>
      <c r="F39" s="8"/>
      <c r="G39" s="10"/>
      <c r="H39" s="10">
        <v>200</v>
      </c>
    </row>
    <row r="40" spans="1:8" s="15" customFormat="1" x14ac:dyDescent="0.15">
      <c r="A40" s="7"/>
      <c r="B40" s="31"/>
      <c r="C40" s="11"/>
      <c r="D40" s="11"/>
      <c r="E40" s="8"/>
      <c r="F40" s="8"/>
      <c r="G40" s="10"/>
      <c r="H40" s="10"/>
    </row>
    <row r="41" spans="1:8" s="15" customFormat="1" ht="28" x14ac:dyDescent="0.15">
      <c r="A41" s="7">
        <v>8.17</v>
      </c>
      <c r="B41" s="33" t="s">
        <v>743</v>
      </c>
      <c r="C41" s="41" t="s">
        <v>214</v>
      </c>
      <c r="D41" s="52" t="s">
        <v>19</v>
      </c>
      <c r="E41" s="48" t="s">
        <v>10</v>
      </c>
      <c r="F41" s="48">
        <v>2</v>
      </c>
      <c r="G41" s="53">
        <v>20</v>
      </c>
      <c r="H41" s="10">
        <f>SUM(F41*G41)</f>
        <v>40</v>
      </c>
    </row>
    <row r="42" spans="1:8" s="15" customFormat="1" x14ac:dyDescent="0.15">
      <c r="A42" s="7"/>
      <c r="B42" s="31"/>
      <c r="C42" s="11"/>
      <c r="D42" s="11"/>
      <c r="E42" s="8"/>
      <c r="F42" s="8"/>
      <c r="G42" s="10"/>
      <c r="H42" s="10"/>
    </row>
    <row r="43" spans="1:8" s="15" customFormat="1" ht="28" x14ac:dyDescent="0.15">
      <c r="A43" s="7">
        <v>8.18</v>
      </c>
      <c r="B43" s="44" t="s">
        <v>747</v>
      </c>
      <c r="C43" s="11" t="s">
        <v>103</v>
      </c>
      <c r="D43" s="11" t="s">
        <v>104</v>
      </c>
      <c r="E43" s="8" t="s">
        <v>11</v>
      </c>
      <c r="F43" s="8">
        <v>21</v>
      </c>
      <c r="G43" s="10">
        <v>12</v>
      </c>
      <c r="H43" s="10">
        <f>SUM(F43*G43)</f>
        <v>252</v>
      </c>
    </row>
    <row r="44" spans="1:8" s="15" customFormat="1" x14ac:dyDescent="0.15">
      <c r="A44" s="7"/>
      <c r="B44" s="8"/>
      <c r="C44" s="11"/>
      <c r="D44" s="11"/>
      <c r="E44" s="8"/>
      <c r="F44" s="8"/>
      <c r="G44" s="10"/>
      <c r="H44" s="10"/>
    </row>
    <row r="45" spans="1:8" s="15" customFormat="1" ht="28" x14ac:dyDescent="0.15">
      <c r="A45" s="7">
        <v>8.19</v>
      </c>
      <c r="B45" s="44" t="s">
        <v>747</v>
      </c>
      <c r="C45" s="38" t="s">
        <v>637</v>
      </c>
      <c r="D45" s="38" t="s">
        <v>638</v>
      </c>
      <c r="E45" s="48" t="s">
        <v>76</v>
      </c>
      <c r="F45" s="48">
        <v>44</v>
      </c>
      <c r="G45" s="10">
        <v>8</v>
      </c>
      <c r="H45" s="10">
        <f>SUM(F45*G45)</f>
        <v>352</v>
      </c>
    </row>
    <row r="46" spans="1:8" s="15" customFormat="1" x14ac:dyDescent="0.15">
      <c r="A46" s="7"/>
      <c r="B46" s="33"/>
      <c r="C46" s="38"/>
      <c r="D46" s="38"/>
      <c r="E46" s="48"/>
      <c r="F46" s="48"/>
      <c r="G46" s="10"/>
      <c r="H46" s="10"/>
    </row>
    <row r="47" spans="1:8" s="15" customFormat="1" ht="14" x14ac:dyDescent="0.15">
      <c r="A47" s="7">
        <v>8.1999999999999993</v>
      </c>
      <c r="B47" s="33" t="s">
        <v>743</v>
      </c>
      <c r="C47" s="11" t="s">
        <v>639</v>
      </c>
      <c r="D47" s="11" t="s">
        <v>640</v>
      </c>
      <c r="E47" s="8"/>
      <c r="F47" s="34"/>
      <c r="G47" s="10"/>
      <c r="H47" s="36"/>
    </row>
    <row r="48" spans="1:8" s="15" customFormat="1" x14ac:dyDescent="0.15">
      <c r="A48" s="7"/>
      <c r="B48" s="33"/>
      <c r="C48" s="11"/>
      <c r="D48" s="11"/>
      <c r="E48" s="8"/>
      <c r="F48" s="34"/>
      <c r="G48" s="10"/>
      <c r="H48" s="36"/>
    </row>
    <row r="49" spans="1:8" s="15" customFormat="1" ht="28" x14ac:dyDescent="0.15">
      <c r="A49" s="7">
        <v>8.2100000000000009</v>
      </c>
      <c r="B49" s="33" t="s">
        <v>743</v>
      </c>
      <c r="C49" s="11" t="s">
        <v>266</v>
      </c>
      <c r="D49" s="11" t="s">
        <v>248</v>
      </c>
      <c r="E49" s="48" t="s">
        <v>76</v>
      </c>
      <c r="F49" s="8">
        <v>20</v>
      </c>
      <c r="G49" s="10">
        <v>48</v>
      </c>
      <c r="H49" s="10">
        <f>SUM(F49*G49)</f>
        <v>960</v>
      </c>
    </row>
    <row r="50" spans="1:8" s="15" customFormat="1" x14ac:dyDescent="0.15">
      <c r="A50" s="7"/>
      <c r="B50" s="8"/>
      <c r="C50" s="14"/>
      <c r="D50" s="11"/>
      <c r="E50" s="8"/>
      <c r="F50" s="8"/>
      <c r="G50" s="10"/>
      <c r="H50" s="10"/>
    </row>
    <row r="51" spans="1:8" s="15" customFormat="1" ht="28" x14ac:dyDescent="0.15">
      <c r="A51" s="7">
        <v>8.2200000000000006</v>
      </c>
      <c r="B51" s="44" t="s">
        <v>747</v>
      </c>
      <c r="C51" s="11" t="s">
        <v>556</v>
      </c>
      <c r="D51" s="11" t="s">
        <v>539</v>
      </c>
      <c r="E51" s="8" t="s">
        <v>11</v>
      </c>
      <c r="F51" s="8">
        <v>15</v>
      </c>
      <c r="G51" s="10">
        <v>7</v>
      </c>
      <c r="H51" s="10">
        <f>SUM(F51*G51)</f>
        <v>105</v>
      </c>
    </row>
    <row r="52" spans="1:8" s="15" customFormat="1" x14ac:dyDescent="0.15">
      <c r="A52" s="7"/>
      <c r="B52" s="31"/>
      <c r="C52" s="11"/>
      <c r="D52" s="11"/>
      <c r="E52" s="8"/>
      <c r="F52" s="8"/>
      <c r="G52" s="10"/>
      <c r="H52" s="10"/>
    </row>
    <row r="53" spans="1:8" s="15" customFormat="1" ht="28" x14ac:dyDescent="0.15">
      <c r="A53" s="7">
        <v>8.23</v>
      </c>
      <c r="B53" s="44" t="s">
        <v>747</v>
      </c>
      <c r="C53" s="11" t="s">
        <v>92</v>
      </c>
      <c r="D53" s="11" t="s">
        <v>731</v>
      </c>
      <c r="E53" s="8" t="s">
        <v>10</v>
      </c>
      <c r="F53" s="34">
        <v>2</v>
      </c>
      <c r="G53" s="10">
        <v>120</v>
      </c>
      <c r="H53" s="10">
        <f>SUM(F53*G53)</f>
        <v>240</v>
      </c>
    </row>
    <row r="54" spans="1:8" s="15" customFormat="1" x14ac:dyDescent="0.15">
      <c r="A54" s="7"/>
      <c r="B54" s="8"/>
      <c r="C54" s="11"/>
      <c r="D54" s="11"/>
      <c r="E54" s="8"/>
      <c r="F54" s="8"/>
      <c r="G54" s="10"/>
      <c r="H54" s="10"/>
    </row>
    <row r="55" spans="1:8" s="15" customFormat="1" ht="28" x14ac:dyDescent="0.15">
      <c r="A55" s="7">
        <v>8.24</v>
      </c>
      <c r="B55" s="33" t="s">
        <v>743</v>
      </c>
      <c r="C55" s="11" t="s">
        <v>641</v>
      </c>
      <c r="D55" s="11" t="s">
        <v>265</v>
      </c>
      <c r="E55" s="8" t="s">
        <v>8</v>
      </c>
      <c r="F55" s="8"/>
      <c r="G55" s="10"/>
      <c r="H55" s="10">
        <v>80</v>
      </c>
    </row>
    <row r="56" spans="1:8" s="15" customFormat="1" x14ac:dyDescent="0.15">
      <c r="A56" s="7"/>
      <c r="B56" s="31"/>
      <c r="C56" s="11"/>
      <c r="D56" s="11"/>
      <c r="E56" s="8"/>
      <c r="F56" s="8"/>
      <c r="G56" s="10"/>
      <c r="H56" s="10"/>
    </row>
    <row r="57" spans="1:8" s="15" customFormat="1" ht="14" x14ac:dyDescent="0.15">
      <c r="A57" s="7">
        <v>8.25</v>
      </c>
      <c r="B57" s="33" t="s">
        <v>743</v>
      </c>
      <c r="C57" s="5" t="s">
        <v>17</v>
      </c>
      <c r="D57" s="5" t="s">
        <v>547</v>
      </c>
      <c r="E57" s="8" t="s">
        <v>10</v>
      </c>
      <c r="F57" s="9">
        <v>1</v>
      </c>
      <c r="G57" s="10">
        <v>10</v>
      </c>
      <c r="H57" s="10">
        <f>SUM(F57*G57)</f>
        <v>10</v>
      </c>
    </row>
    <row r="58" spans="1:8" s="15" customFormat="1" x14ac:dyDescent="0.15">
      <c r="A58" s="7"/>
      <c r="B58" s="8"/>
      <c r="C58" s="5"/>
      <c r="D58" s="5"/>
      <c r="E58" s="8"/>
      <c r="F58" s="9"/>
      <c r="G58" s="10"/>
      <c r="H58" s="10"/>
    </row>
    <row r="59" spans="1:8" s="15" customFormat="1" ht="14" x14ac:dyDescent="0.15">
      <c r="A59" s="7">
        <v>8.26</v>
      </c>
      <c r="B59" s="8" t="s">
        <v>746</v>
      </c>
      <c r="C59" s="5" t="s">
        <v>267</v>
      </c>
      <c r="D59" s="5" t="s">
        <v>268</v>
      </c>
      <c r="E59" s="8" t="s">
        <v>8</v>
      </c>
      <c r="F59" s="9"/>
      <c r="G59" s="10"/>
      <c r="H59" s="10">
        <v>20</v>
      </c>
    </row>
    <row r="60" spans="1:8" s="15" customFormat="1" x14ac:dyDescent="0.15">
      <c r="A60" s="7"/>
      <c r="B60" s="8"/>
      <c r="C60" s="5"/>
      <c r="D60" s="5"/>
      <c r="E60" s="8"/>
      <c r="F60" s="9"/>
      <c r="G60" s="10"/>
      <c r="H60" s="10"/>
    </row>
    <row r="61" spans="1:8" s="15" customFormat="1" ht="14" x14ac:dyDescent="0.15">
      <c r="A61" s="7"/>
      <c r="B61" s="31"/>
      <c r="C61" s="14" t="s">
        <v>250</v>
      </c>
      <c r="D61" s="11"/>
      <c r="E61" s="8"/>
      <c r="F61" s="8"/>
      <c r="G61" s="10"/>
      <c r="H61" s="10"/>
    </row>
    <row r="62" spans="1:8" s="15" customFormat="1" x14ac:dyDescent="0.15">
      <c r="A62" s="7"/>
      <c r="B62" s="33"/>
      <c r="C62" s="11"/>
      <c r="D62" s="11"/>
      <c r="E62" s="8"/>
      <c r="F62" s="8"/>
      <c r="G62" s="10"/>
      <c r="H62" s="10"/>
    </row>
    <row r="63" spans="1:8" s="15" customFormat="1" ht="28" x14ac:dyDescent="0.15">
      <c r="A63" s="7">
        <v>8.27</v>
      </c>
      <c r="B63" s="44" t="s">
        <v>747</v>
      </c>
      <c r="C63" s="11" t="s">
        <v>620</v>
      </c>
      <c r="D63" s="11" t="s">
        <v>621</v>
      </c>
      <c r="E63" s="48" t="s">
        <v>76</v>
      </c>
      <c r="F63" s="8">
        <v>10</v>
      </c>
      <c r="G63" s="10">
        <v>9</v>
      </c>
      <c r="H63" s="10">
        <f>SUM(F63*G63)</f>
        <v>90</v>
      </c>
    </row>
    <row r="64" spans="1:8" s="15" customFormat="1" x14ac:dyDescent="0.15">
      <c r="A64" s="7"/>
      <c r="B64" s="8"/>
      <c r="C64" s="11"/>
      <c r="D64" s="11"/>
      <c r="E64" s="8"/>
      <c r="F64" s="8"/>
      <c r="G64" s="10"/>
      <c r="H64" s="10"/>
    </row>
    <row r="65" spans="1:8" s="15" customFormat="1" ht="28" x14ac:dyDescent="0.15">
      <c r="A65" s="7">
        <v>8.2799999999999994</v>
      </c>
      <c r="B65" s="33" t="s">
        <v>743</v>
      </c>
      <c r="C65" s="41" t="s">
        <v>271</v>
      </c>
      <c r="D65" s="52" t="s">
        <v>19</v>
      </c>
      <c r="E65" s="48" t="s">
        <v>10</v>
      </c>
      <c r="F65" s="48">
        <v>2</v>
      </c>
      <c r="G65" s="53">
        <v>20</v>
      </c>
      <c r="H65" s="10">
        <f>SUM(F65*G65)</f>
        <v>40</v>
      </c>
    </row>
    <row r="66" spans="1:8" s="15" customFormat="1" x14ac:dyDescent="0.15">
      <c r="A66" s="7"/>
      <c r="B66" s="31"/>
      <c r="C66" s="41"/>
      <c r="D66" s="52"/>
      <c r="E66" s="48"/>
      <c r="F66" s="48"/>
      <c r="G66" s="53"/>
      <c r="H66" s="10"/>
    </row>
    <row r="67" spans="1:8" s="15" customFormat="1" ht="14" x14ac:dyDescent="0.15">
      <c r="A67" s="7">
        <v>8.2899999999999991</v>
      </c>
      <c r="B67" s="33" t="s">
        <v>743</v>
      </c>
      <c r="C67" s="41"/>
      <c r="D67" s="52" t="s">
        <v>272</v>
      </c>
      <c r="E67" s="48" t="s">
        <v>10</v>
      </c>
      <c r="F67" s="48">
        <v>1</v>
      </c>
      <c r="G67" s="10">
        <v>120</v>
      </c>
      <c r="H67" s="10">
        <f>SUM(F67*G67)</f>
        <v>120</v>
      </c>
    </row>
    <row r="68" spans="1:8" s="15" customFormat="1" x14ac:dyDescent="0.15">
      <c r="A68" s="7"/>
      <c r="B68" s="8"/>
      <c r="C68" s="11"/>
      <c r="D68" s="11"/>
      <c r="E68" s="8"/>
      <c r="F68" s="8"/>
      <c r="G68" s="10"/>
      <c r="H68" s="10"/>
    </row>
    <row r="69" spans="1:8" s="15" customFormat="1" ht="28" x14ac:dyDescent="0.15">
      <c r="A69" s="7">
        <v>8.3000000000000007</v>
      </c>
      <c r="B69" s="44" t="s">
        <v>747</v>
      </c>
      <c r="C69" s="11" t="s">
        <v>103</v>
      </c>
      <c r="D69" s="11" t="s">
        <v>104</v>
      </c>
      <c r="E69" s="8" t="s">
        <v>11</v>
      </c>
      <c r="F69" s="8">
        <v>13</v>
      </c>
      <c r="G69" s="10">
        <v>12</v>
      </c>
      <c r="H69" s="10">
        <f>SUM(F69*G69)</f>
        <v>156</v>
      </c>
    </row>
    <row r="70" spans="1:8" s="15" customFormat="1" x14ac:dyDescent="0.15">
      <c r="A70" s="7"/>
      <c r="B70" s="8"/>
      <c r="C70" s="11"/>
      <c r="D70" s="11"/>
      <c r="E70" s="8"/>
      <c r="F70" s="8"/>
      <c r="G70" s="10"/>
      <c r="H70" s="10"/>
    </row>
    <row r="71" spans="1:8" s="15" customFormat="1" ht="28" x14ac:dyDescent="0.15">
      <c r="A71" s="7">
        <v>8.31</v>
      </c>
      <c r="B71" s="44" t="s">
        <v>747</v>
      </c>
      <c r="C71" s="38" t="s">
        <v>637</v>
      </c>
      <c r="D71" s="38" t="s">
        <v>638</v>
      </c>
      <c r="E71" s="48" t="s">
        <v>76</v>
      </c>
      <c r="F71" s="48">
        <v>34</v>
      </c>
      <c r="G71" s="10">
        <v>9</v>
      </c>
      <c r="H71" s="10">
        <f>SUM(F71*G71)</f>
        <v>306</v>
      </c>
    </row>
    <row r="72" spans="1:8" s="15" customFormat="1" x14ac:dyDescent="0.15">
      <c r="A72" s="7"/>
      <c r="B72" s="31"/>
      <c r="C72" s="38"/>
      <c r="D72" s="38"/>
      <c r="E72" s="48"/>
      <c r="F72" s="48"/>
      <c r="G72" s="10"/>
      <c r="H72" s="10"/>
    </row>
    <row r="73" spans="1:8" s="15" customFormat="1" ht="28" x14ac:dyDescent="0.15">
      <c r="A73" s="7">
        <v>8.32</v>
      </c>
      <c r="B73" s="8" t="s">
        <v>747</v>
      </c>
      <c r="C73" s="38" t="s">
        <v>273</v>
      </c>
      <c r="D73" s="38" t="s">
        <v>732</v>
      </c>
      <c r="E73" s="48" t="s">
        <v>76</v>
      </c>
      <c r="F73" s="48">
        <v>5</v>
      </c>
      <c r="G73" s="10">
        <v>30</v>
      </c>
      <c r="H73" s="10">
        <f>SUM(F73*G73)</f>
        <v>150</v>
      </c>
    </row>
    <row r="74" spans="1:8" s="15" customFormat="1" x14ac:dyDescent="0.15">
      <c r="A74" s="7"/>
      <c r="B74" s="8"/>
      <c r="C74" s="38"/>
      <c r="D74" s="38"/>
      <c r="E74" s="48"/>
      <c r="F74" s="48"/>
      <c r="G74" s="10"/>
      <c r="H74" s="10"/>
    </row>
    <row r="75" spans="1:8" s="15" customFormat="1" ht="28" x14ac:dyDescent="0.15">
      <c r="A75" s="7">
        <v>8.33</v>
      </c>
      <c r="B75" s="33" t="s">
        <v>743</v>
      </c>
      <c r="C75" s="11" t="s">
        <v>266</v>
      </c>
      <c r="D75" s="11" t="s">
        <v>248</v>
      </c>
      <c r="E75" s="48" t="s">
        <v>76</v>
      </c>
      <c r="F75" s="8">
        <v>10</v>
      </c>
      <c r="G75" s="10">
        <v>48</v>
      </c>
      <c r="H75" s="10">
        <f>SUM(F75*G75)</f>
        <v>480</v>
      </c>
    </row>
    <row r="76" spans="1:8" s="15" customFormat="1" x14ac:dyDescent="0.15">
      <c r="A76" s="7"/>
      <c r="B76" s="8"/>
      <c r="C76" s="14"/>
      <c r="D76" s="11"/>
      <c r="E76" s="8"/>
      <c r="F76" s="8"/>
      <c r="G76" s="10"/>
      <c r="H76" s="10"/>
    </row>
    <row r="77" spans="1:8" s="15" customFormat="1" ht="28" x14ac:dyDescent="0.15">
      <c r="A77" s="7">
        <v>8.34</v>
      </c>
      <c r="B77" s="44" t="s">
        <v>747</v>
      </c>
      <c r="C77" s="11" t="s">
        <v>556</v>
      </c>
      <c r="D77" s="11" t="s">
        <v>539</v>
      </c>
      <c r="E77" s="8" t="s">
        <v>11</v>
      </c>
      <c r="F77" s="8">
        <v>12</v>
      </c>
      <c r="G77" s="10">
        <v>7</v>
      </c>
      <c r="H77" s="10">
        <f>SUM(F77*G77)</f>
        <v>84</v>
      </c>
    </row>
    <row r="78" spans="1:8" s="15" customFormat="1" x14ac:dyDescent="0.15">
      <c r="A78" s="7"/>
      <c r="B78" s="33"/>
      <c r="C78" s="11"/>
      <c r="D78" s="11"/>
      <c r="E78" s="8"/>
      <c r="F78" s="8"/>
      <c r="G78" s="10"/>
      <c r="H78" s="10"/>
    </row>
    <row r="79" spans="1:8" s="15" customFormat="1" ht="28" x14ac:dyDescent="0.15">
      <c r="A79" s="7">
        <v>8.35</v>
      </c>
      <c r="B79" s="44" t="s">
        <v>747</v>
      </c>
      <c r="C79" s="11" t="s">
        <v>92</v>
      </c>
      <c r="D79" s="11" t="s">
        <v>733</v>
      </c>
      <c r="E79" s="8" t="s">
        <v>10</v>
      </c>
      <c r="F79" s="34">
        <v>2</v>
      </c>
      <c r="G79" s="10">
        <v>120</v>
      </c>
      <c r="H79" s="10">
        <v>120</v>
      </c>
    </row>
    <row r="80" spans="1:8" s="15" customFormat="1" x14ac:dyDescent="0.15">
      <c r="A80" s="7"/>
      <c r="B80" s="8"/>
      <c r="C80" s="11"/>
      <c r="D80" s="11"/>
      <c r="E80" s="8"/>
      <c r="F80" s="8"/>
      <c r="G80" s="10"/>
      <c r="H80" s="10"/>
    </row>
    <row r="81" spans="1:8" s="15" customFormat="1" ht="42" x14ac:dyDescent="0.15">
      <c r="A81" s="7">
        <v>8.36</v>
      </c>
      <c r="B81" s="44" t="s">
        <v>747</v>
      </c>
      <c r="C81" s="11" t="s">
        <v>582</v>
      </c>
      <c r="D81" s="11" t="s">
        <v>568</v>
      </c>
      <c r="E81" s="8" t="s">
        <v>10</v>
      </c>
      <c r="F81" s="8">
        <v>1</v>
      </c>
      <c r="G81" s="10">
        <v>75</v>
      </c>
      <c r="H81" s="10">
        <f>SUM(F81*G81)</f>
        <v>75</v>
      </c>
    </row>
    <row r="82" spans="1:8" s="15" customFormat="1" x14ac:dyDescent="0.15">
      <c r="A82" s="7"/>
      <c r="B82" s="31"/>
      <c r="C82" s="11"/>
      <c r="D82" s="11"/>
      <c r="E82" s="8"/>
      <c r="F82" s="8"/>
      <c r="G82" s="10"/>
      <c r="H82" s="10"/>
    </row>
    <row r="83" spans="1:8" s="15" customFormat="1" ht="14" x14ac:dyDescent="0.15">
      <c r="A83" s="7">
        <v>8.3699999999999992</v>
      </c>
      <c r="B83" s="33" t="s">
        <v>743</v>
      </c>
      <c r="C83" s="5" t="s">
        <v>17</v>
      </c>
      <c r="D83" s="5" t="s">
        <v>643</v>
      </c>
      <c r="E83" s="8" t="s">
        <v>10</v>
      </c>
      <c r="F83" s="9">
        <v>2</v>
      </c>
      <c r="G83" s="10">
        <v>10</v>
      </c>
      <c r="H83" s="10">
        <f>SUM(F83*G83)</f>
        <v>20</v>
      </c>
    </row>
    <row r="84" spans="1:8" s="15" customFormat="1" x14ac:dyDescent="0.15">
      <c r="A84" s="7"/>
      <c r="B84" s="8"/>
      <c r="C84" s="5"/>
      <c r="D84" s="5"/>
      <c r="E84" s="8"/>
      <c r="F84" s="9"/>
      <c r="G84" s="10"/>
      <c r="H84" s="10"/>
    </row>
    <row r="85" spans="1:8" s="15" customFormat="1" ht="28" x14ac:dyDescent="0.15">
      <c r="A85" s="7">
        <v>8.3800000000000008</v>
      </c>
      <c r="B85" s="33" t="s">
        <v>745</v>
      </c>
      <c r="C85" s="38" t="s">
        <v>109</v>
      </c>
      <c r="D85" s="38" t="s">
        <v>110</v>
      </c>
      <c r="E85" s="48" t="s">
        <v>8</v>
      </c>
      <c r="F85" s="8"/>
      <c r="G85" s="10"/>
      <c r="H85" s="10" t="s">
        <v>26</v>
      </c>
    </row>
    <row r="86" spans="1:8" s="15" customFormat="1" x14ac:dyDescent="0.15">
      <c r="A86" s="7"/>
      <c r="B86" s="8"/>
      <c r="C86" s="38"/>
      <c r="D86" s="38"/>
      <c r="E86" s="48"/>
      <c r="F86" s="8"/>
      <c r="G86" s="10"/>
      <c r="H86" s="10"/>
    </row>
    <row r="87" spans="1:8" s="15" customFormat="1" ht="28" x14ac:dyDescent="0.15">
      <c r="A87" s="7">
        <v>8.39</v>
      </c>
      <c r="B87" s="33" t="s">
        <v>745</v>
      </c>
      <c r="C87" s="38" t="s">
        <v>274</v>
      </c>
      <c r="D87" s="38" t="s">
        <v>275</v>
      </c>
      <c r="E87" s="48" t="s">
        <v>8</v>
      </c>
      <c r="F87" s="8"/>
      <c r="G87" s="10"/>
      <c r="H87" s="10">
        <v>100</v>
      </c>
    </row>
    <row r="88" spans="1:8" s="15" customFormat="1" x14ac:dyDescent="0.15">
      <c r="A88" s="7"/>
      <c r="B88" s="8"/>
      <c r="C88" s="5"/>
      <c r="D88" s="5"/>
      <c r="E88" s="8"/>
      <c r="F88" s="9"/>
      <c r="G88" s="10"/>
      <c r="H88" s="10"/>
    </row>
    <row r="89" spans="1:8" s="15" customFormat="1" ht="14" x14ac:dyDescent="0.15">
      <c r="A89" s="7"/>
      <c r="B89" s="31"/>
      <c r="C89" s="14" t="s">
        <v>251</v>
      </c>
      <c r="D89" s="11"/>
      <c r="E89" s="8"/>
      <c r="F89" s="9"/>
      <c r="G89" s="10"/>
      <c r="H89" s="10"/>
    </row>
    <row r="90" spans="1:8" s="15" customFormat="1" x14ac:dyDescent="0.15">
      <c r="A90" s="7"/>
      <c r="B90" s="8"/>
      <c r="C90" s="11"/>
      <c r="D90" s="11"/>
      <c r="E90" s="8"/>
      <c r="F90" s="9"/>
      <c r="G90" s="10"/>
      <c r="H90" s="10"/>
    </row>
    <row r="91" spans="1:8" s="15" customFormat="1" ht="28" x14ac:dyDescent="0.15">
      <c r="A91" s="7">
        <v>8.4</v>
      </c>
      <c r="B91" s="44" t="s">
        <v>747</v>
      </c>
      <c r="C91" s="11" t="s">
        <v>276</v>
      </c>
      <c r="D91" s="11" t="s">
        <v>734</v>
      </c>
      <c r="E91" s="48" t="s">
        <v>76</v>
      </c>
      <c r="F91" s="8">
        <v>15</v>
      </c>
      <c r="G91" s="10">
        <v>10</v>
      </c>
      <c r="H91" s="10">
        <f>SUM(F91*G91)</f>
        <v>150</v>
      </c>
    </row>
    <row r="92" spans="1:8" s="15" customFormat="1" x14ac:dyDescent="0.15">
      <c r="A92" s="7"/>
      <c r="B92" s="8"/>
      <c r="C92" s="11"/>
      <c r="D92" s="11"/>
      <c r="E92" s="8"/>
      <c r="F92" s="8"/>
      <c r="G92" s="10"/>
      <c r="H92" s="10"/>
    </row>
    <row r="93" spans="1:8" s="15" customFormat="1" ht="14" x14ac:dyDescent="0.15">
      <c r="A93" s="7">
        <v>8.41</v>
      </c>
      <c r="B93" s="33" t="s">
        <v>743</v>
      </c>
      <c r="C93" s="11" t="s">
        <v>277</v>
      </c>
      <c r="D93" s="11" t="s">
        <v>98</v>
      </c>
      <c r="E93" s="8" t="s">
        <v>8</v>
      </c>
      <c r="F93" s="8"/>
      <c r="G93" s="10"/>
      <c r="H93" s="10">
        <v>20</v>
      </c>
    </row>
    <row r="94" spans="1:8" s="15" customFormat="1" x14ac:dyDescent="0.15">
      <c r="A94" s="7"/>
      <c r="B94" s="8"/>
      <c r="C94" s="11"/>
      <c r="D94" s="11"/>
      <c r="E94" s="8"/>
      <c r="F94" s="8"/>
      <c r="G94" s="10"/>
      <c r="H94" s="10"/>
    </row>
    <row r="95" spans="1:8" s="15" customFormat="1" ht="28" x14ac:dyDescent="0.15">
      <c r="A95" s="7">
        <v>8.42</v>
      </c>
      <c r="B95" s="44" t="s">
        <v>747</v>
      </c>
      <c r="C95" s="11" t="s">
        <v>644</v>
      </c>
      <c r="D95" s="11" t="s">
        <v>104</v>
      </c>
      <c r="E95" s="8" t="s">
        <v>11</v>
      </c>
      <c r="F95" s="8">
        <v>16</v>
      </c>
      <c r="G95" s="10">
        <v>12</v>
      </c>
      <c r="H95" s="10">
        <f>SUM(F95*G95)</f>
        <v>192</v>
      </c>
    </row>
    <row r="96" spans="1:8" s="15" customFormat="1" x14ac:dyDescent="0.15">
      <c r="A96" s="7"/>
      <c r="B96" s="8"/>
      <c r="C96" s="11"/>
      <c r="D96" s="11"/>
      <c r="E96" s="8"/>
      <c r="F96" s="8"/>
      <c r="G96" s="10"/>
      <c r="H96" s="10"/>
    </row>
    <row r="97" spans="1:8" s="15" customFormat="1" ht="28" x14ac:dyDescent="0.15">
      <c r="A97" s="7">
        <v>8.43</v>
      </c>
      <c r="B97" s="44" t="s">
        <v>747</v>
      </c>
      <c r="C97" s="38" t="s">
        <v>645</v>
      </c>
      <c r="D97" s="38" t="s">
        <v>102</v>
      </c>
      <c r="E97" s="48" t="s">
        <v>76</v>
      </c>
      <c r="F97" s="48">
        <v>48</v>
      </c>
      <c r="G97" s="10">
        <v>9</v>
      </c>
      <c r="H97" s="10">
        <f>SUM(F97*G97)</f>
        <v>432</v>
      </c>
    </row>
    <row r="98" spans="1:8" s="15" customFormat="1" x14ac:dyDescent="0.15">
      <c r="A98" s="7"/>
      <c r="B98" s="33"/>
      <c r="C98" s="11"/>
      <c r="D98" s="11"/>
      <c r="E98" s="8"/>
      <c r="F98" s="34"/>
      <c r="G98" s="10"/>
      <c r="H98" s="36"/>
    </row>
    <row r="99" spans="1:8" s="15" customFormat="1" ht="28" x14ac:dyDescent="0.15">
      <c r="A99" s="7">
        <v>8.44</v>
      </c>
      <c r="B99" s="33" t="s">
        <v>743</v>
      </c>
      <c r="C99" s="11" t="s">
        <v>266</v>
      </c>
      <c r="D99" s="11" t="s">
        <v>248</v>
      </c>
      <c r="E99" s="48" t="s">
        <v>76</v>
      </c>
      <c r="F99" s="8">
        <v>15</v>
      </c>
      <c r="G99" s="10">
        <v>50</v>
      </c>
      <c r="H99" s="10">
        <f>SUM(F99*G99)</f>
        <v>750</v>
      </c>
    </row>
    <row r="100" spans="1:8" s="15" customFormat="1" x14ac:dyDescent="0.15">
      <c r="A100" s="7"/>
      <c r="B100" s="8"/>
      <c r="C100" s="14"/>
      <c r="D100" s="11"/>
      <c r="E100" s="8"/>
      <c r="F100" s="8"/>
      <c r="G100" s="10"/>
      <c r="H100" s="10"/>
    </row>
    <row r="101" spans="1:8" s="15" customFormat="1" ht="28" x14ac:dyDescent="0.15">
      <c r="A101" s="7">
        <v>8.4499999999999993</v>
      </c>
      <c r="B101" s="44" t="s">
        <v>747</v>
      </c>
      <c r="C101" s="11" t="s">
        <v>78</v>
      </c>
      <c r="D101" s="11" t="s">
        <v>789</v>
      </c>
      <c r="E101" s="8" t="s">
        <v>11</v>
      </c>
      <c r="F101" s="8">
        <v>8</v>
      </c>
      <c r="G101" s="10">
        <v>7</v>
      </c>
      <c r="H101" s="10">
        <f>SUM(F101*G101)</f>
        <v>56</v>
      </c>
    </row>
    <row r="102" spans="1:8" s="15" customFormat="1" x14ac:dyDescent="0.15">
      <c r="A102" s="7"/>
      <c r="B102" s="31"/>
      <c r="C102" s="11"/>
      <c r="D102" s="11"/>
      <c r="E102" s="8"/>
      <c r="F102" s="8"/>
      <c r="G102" s="10"/>
      <c r="H102" s="10"/>
    </row>
    <row r="103" spans="1:8" s="15" customFormat="1" ht="28" x14ac:dyDescent="0.15">
      <c r="A103" s="7">
        <v>8.4600000000000009</v>
      </c>
      <c r="B103" s="44" t="s">
        <v>747</v>
      </c>
      <c r="C103" s="11" t="s">
        <v>92</v>
      </c>
      <c r="D103" s="11" t="s">
        <v>731</v>
      </c>
      <c r="E103" s="8" t="s">
        <v>10</v>
      </c>
      <c r="F103" s="34">
        <v>4</v>
      </c>
      <c r="G103" s="10">
        <v>120</v>
      </c>
      <c r="H103" s="10">
        <f>SUM(F103*G103)</f>
        <v>480</v>
      </c>
    </row>
    <row r="104" spans="1:8" s="15" customFormat="1" x14ac:dyDescent="0.15">
      <c r="A104" s="7"/>
      <c r="B104" s="31"/>
      <c r="C104" s="11"/>
      <c r="D104" s="11"/>
      <c r="E104" s="8"/>
      <c r="F104" s="34"/>
      <c r="G104" s="10"/>
      <c r="H104" s="10"/>
    </row>
    <row r="105" spans="1:8" s="15" customFormat="1" ht="28" x14ac:dyDescent="0.15">
      <c r="A105" s="7">
        <v>8.4700000000000006</v>
      </c>
      <c r="B105" s="44" t="s">
        <v>746</v>
      </c>
      <c r="C105" s="11" t="s">
        <v>646</v>
      </c>
      <c r="D105" s="11" t="s">
        <v>730</v>
      </c>
      <c r="E105" s="8" t="s">
        <v>8</v>
      </c>
      <c r="F105" s="8"/>
      <c r="G105" s="10"/>
      <c r="H105" s="10">
        <v>150</v>
      </c>
    </row>
    <row r="106" spans="1:8" s="15" customFormat="1" x14ac:dyDescent="0.15">
      <c r="A106" s="7"/>
      <c r="B106" s="31"/>
      <c r="C106" s="11"/>
      <c r="D106" s="11"/>
      <c r="E106" s="8"/>
      <c r="F106" s="8"/>
      <c r="G106" s="10"/>
      <c r="H106" s="10"/>
    </row>
    <row r="107" spans="1:8" s="15" customFormat="1" ht="28" x14ac:dyDescent="0.15">
      <c r="A107" s="7">
        <v>8.48</v>
      </c>
      <c r="B107" s="44" t="s">
        <v>747</v>
      </c>
      <c r="C107" s="11" t="s">
        <v>648</v>
      </c>
      <c r="D107" s="11" t="s">
        <v>803</v>
      </c>
      <c r="E107" s="8"/>
      <c r="F107" s="8"/>
      <c r="G107" s="10"/>
      <c r="H107" s="10">
        <v>500</v>
      </c>
    </row>
    <row r="108" spans="1:8" s="15" customFormat="1" x14ac:dyDescent="0.15">
      <c r="A108" s="7"/>
      <c r="B108" s="31"/>
      <c r="C108" s="11"/>
      <c r="D108" s="11"/>
      <c r="E108" s="8"/>
      <c r="F108" s="8"/>
      <c r="G108" s="10"/>
      <c r="H108" s="10"/>
    </row>
    <row r="109" spans="1:8" s="15" customFormat="1" ht="14" x14ac:dyDescent="0.15">
      <c r="A109" s="7"/>
      <c r="B109" s="8"/>
      <c r="C109" s="14" t="s">
        <v>252</v>
      </c>
      <c r="D109" s="11"/>
      <c r="E109" s="8"/>
      <c r="F109" s="8"/>
      <c r="G109" s="10"/>
      <c r="H109" s="10"/>
    </row>
    <row r="110" spans="1:8" s="15" customFormat="1" x14ac:dyDescent="0.15">
      <c r="A110" s="7"/>
      <c r="B110" s="8"/>
      <c r="C110" s="11"/>
      <c r="D110" s="11"/>
      <c r="E110" s="8"/>
      <c r="F110" s="8"/>
      <c r="G110" s="10"/>
      <c r="H110" s="10"/>
    </row>
    <row r="111" spans="1:8" s="15" customFormat="1" ht="28" x14ac:dyDescent="0.15">
      <c r="A111" s="7">
        <v>8.49</v>
      </c>
      <c r="B111" s="44" t="s">
        <v>747</v>
      </c>
      <c r="C111" s="11" t="s">
        <v>649</v>
      </c>
      <c r="D111" s="11" t="s">
        <v>735</v>
      </c>
      <c r="E111" s="48" t="s">
        <v>76</v>
      </c>
      <c r="F111" s="8">
        <v>12</v>
      </c>
      <c r="G111" s="10">
        <v>11</v>
      </c>
      <c r="H111" s="10">
        <f>SUM(F111*G111)</f>
        <v>132</v>
      </c>
    </row>
    <row r="112" spans="1:8" s="15" customFormat="1" x14ac:dyDescent="0.15">
      <c r="A112" s="7"/>
      <c r="B112" s="8"/>
      <c r="C112" s="11"/>
      <c r="D112" s="11"/>
      <c r="E112" s="8"/>
      <c r="F112" s="8"/>
      <c r="G112" s="10"/>
      <c r="H112" s="10"/>
    </row>
    <row r="113" spans="1:8" s="15" customFormat="1" ht="28" x14ac:dyDescent="0.15">
      <c r="A113" s="7">
        <v>8.5</v>
      </c>
      <c r="B113" s="33" t="s">
        <v>743</v>
      </c>
      <c r="C113" s="11" t="s">
        <v>280</v>
      </c>
      <c r="D113" s="11" t="s">
        <v>16</v>
      </c>
      <c r="E113" s="8" t="s">
        <v>8</v>
      </c>
      <c r="F113" s="8"/>
      <c r="G113" s="10"/>
      <c r="H113" s="10">
        <v>40</v>
      </c>
    </row>
    <row r="114" spans="1:8" s="15" customFormat="1" x14ac:dyDescent="0.15">
      <c r="A114" s="7"/>
      <c r="B114" s="31"/>
      <c r="C114" s="11"/>
      <c r="D114" s="11"/>
      <c r="E114" s="8"/>
      <c r="F114" s="8"/>
      <c r="G114" s="10"/>
      <c r="H114" s="10"/>
    </row>
    <row r="115" spans="1:8" s="15" customFormat="1" ht="14" x14ac:dyDescent="0.15">
      <c r="A115" s="7">
        <v>8.51</v>
      </c>
      <c r="B115" s="33" t="s">
        <v>743</v>
      </c>
      <c r="C115" s="11"/>
      <c r="D115" s="11" t="s">
        <v>281</v>
      </c>
      <c r="E115" s="8" t="s">
        <v>8</v>
      </c>
      <c r="F115" s="8"/>
      <c r="G115" s="10"/>
      <c r="H115" s="10">
        <v>80</v>
      </c>
    </row>
    <row r="116" spans="1:8" s="15" customFormat="1" x14ac:dyDescent="0.15">
      <c r="A116" s="7"/>
      <c r="B116" s="8"/>
      <c r="C116" s="11"/>
      <c r="D116" s="11"/>
      <c r="E116" s="8"/>
      <c r="F116" s="8"/>
      <c r="G116" s="10"/>
      <c r="H116" s="10"/>
    </row>
    <row r="117" spans="1:8" s="15" customFormat="1" ht="28" x14ac:dyDescent="0.15">
      <c r="A117" s="7">
        <v>8.52</v>
      </c>
      <c r="B117" s="44" t="s">
        <v>747</v>
      </c>
      <c r="C117" s="11" t="s">
        <v>650</v>
      </c>
      <c r="D117" s="5" t="s">
        <v>651</v>
      </c>
      <c r="E117" s="48" t="s">
        <v>76</v>
      </c>
      <c r="F117" s="8">
        <v>35</v>
      </c>
      <c r="G117" s="10">
        <v>9</v>
      </c>
      <c r="H117" s="10">
        <f>SUM(F117*G117)</f>
        <v>315</v>
      </c>
    </row>
    <row r="118" spans="1:8" s="15" customFormat="1" x14ac:dyDescent="0.15">
      <c r="A118" s="7"/>
      <c r="B118" s="8"/>
      <c r="C118" s="11"/>
      <c r="D118" s="11"/>
      <c r="E118" s="8"/>
      <c r="F118" s="34"/>
      <c r="G118" s="10"/>
      <c r="H118" s="10"/>
    </row>
    <row r="119" spans="1:8" s="15" customFormat="1" ht="28" x14ac:dyDescent="0.15">
      <c r="A119" s="7">
        <v>8.5299999999999994</v>
      </c>
      <c r="B119" s="33" t="s">
        <v>743</v>
      </c>
      <c r="C119" s="11" t="s">
        <v>266</v>
      </c>
      <c r="D119" s="11" t="s">
        <v>248</v>
      </c>
      <c r="E119" s="48" t="s">
        <v>76</v>
      </c>
      <c r="F119" s="8">
        <v>12</v>
      </c>
      <c r="G119" s="10">
        <v>48</v>
      </c>
      <c r="H119" s="10">
        <f>SUM(F119*G119)</f>
        <v>576</v>
      </c>
    </row>
    <row r="120" spans="1:8" s="15" customFormat="1" x14ac:dyDescent="0.15">
      <c r="A120" s="7"/>
      <c r="B120" s="8"/>
      <c r="C120" s="14"/>
      <c r="D120" s="11"/>
      <c r="E120" s="8"/>
      <c r="F120" s="8"/>
      <c r="G120" s="10"/>
      <c r="H120" s="10"/>
    </row>
    <row r="121" spans="1:8" s="15" customFormat="1" ht="42" x14ac:dyDescent="0.15">
      <c r="A121" s="7">
        <v>8.5399999999999991</v>
      </c>
      <c r="B121" s="44" t="s">
        <v>747</v>
      </c>
      <c r="C121" s="11" t="s">
        <v>78</v>
      </c>
      <c r="D121" s="11" t="s">
        <v>821</v>
      </c>
      <c r="E121" s="8" t="s">
        <v>11</v>
      </c>
      <c r="F121" s="8">
        <v>13</v>
      </c>
      <c r="G121" s="10">
        <v>7</v>
      </c>
      <c r="H121" s="10">
        <f>SUM(F121*G121)</f>
        <v>91</v>
      </c>
    </row>
    <row r="122" spans="1:8" s="15" customFormat="1" x14ac:dyDescent="0.15">
      <c r="A122" s="7"/>
      <c r="B122" s="31"/>
      <c r="C122" s="11"/>
      <c r="D122" s="11"/>
      <c r="E122" s="8"/>
      <c r="F122" s="8"/>
      <c r="G122" s="10"/>
      <c r="H122" s="10"/>
    </row>
    <row r="123" spans="1:8" s="15" customFormat="1" ht="14" x14ac:dyDescent="0.15">
      <c r="A123" s="7">
        <v>8.5500000000000007</v>
      </c>
      <c r="B123" s="33" t="s">
        <v>743</v>
      </c>
      <c r="C123" s="5" t="s">
        <v>17</v>
      </c>
      <c r="D123" s="5" t="s">
        <v>547</v>
      </c>
      <c r="E123" s="8" t="s">
        <v>10</v>
      </c>
      <c r="F123" s="9">
        <v>1</v>
      </c>
      <c r="G123" s="10">
        <v>10</v>
      </c>
      <c r="H123" s="10">
        <f>SUM(F123*G123)</f>
        <v>10</v>
      </c>
    </row>
    <row r="124" spans="1:8" s="15" customFormat="1" x14ac:dyDescent="0.15">
      <c r="A124" s="7"/>
      <c r="B124" s="31"/>
      <c r="C124" s="5"/>
      <c r="D124" s="5"/>
      <c r="E124" s="8"/>
      <c r="F124" s="9"/>
      <c r="G124" s="10"/>
      <c r="H124" s="10"/>
    </row>
    <row r="125" spans="1:8" s="15" customFormat="1" ht="42" x14ac:dyDescent="0.15">
      <c r="A125" s="7">
        <v>8.56</v>
      </c>
      <c r="B125" s="44" t="s">
        <v>747</v>
      </c>
      <c r="C125" s="11" t="s">
        <v>92</v>
      </c>
      <c r="D125" s="11" t="s">
        <v>736</v>
      </c>
      <c r="E125" s="8" t="s">
        <v>10</v>
      </c>
      <c r="F125" s="34">
        <v>11</v>
      </c>
      <c r="G125" s="10">
        <v>120</v>
      </c>
      <c r="H125" s="10">
        <f>SUM(F125*G125)</f>
        <v>1320</v>
      </c>
    </row>
    <row r="126" spans="1:8" s="15" customFormat="1" x14ac:dyDescent="0.15">
      <c r="A126" s="7"/>
      <c r="B126" s="31"/>
      <c r="C126" s="11"/>
      <c r="D126" s="11"/>
      <c r="E126" s="8"/>
      <c r="F126" s="34"/>
      <c r="G126" s="10"/>
      <c r="H126" s="10"/>
    </row>
    <row r="127" spans="1:8" s="15" customFormat="1" ht="28" x14ac:dyDescent="0.15">
      <c r="A127" s="7">
        <v>8.57</v>
      </c>
      <c r="B127" s="33" t="s">
        <v>743</v>
      </c>
      <c r="C127" s="11" t="s">
        <v>652</v>
      </c>
      <c r="D127" s="11" t="s">
        <v>804</v>
      </c>
      <c r="E127" s="8" t="s">
        <v>8</v>
      </c>
      <c r="F127" s="34"/>
      <c r="G127" s="10"/>
      <c r="H127" s="10">
        <v>20</v>
      </c>
    </row>
    <row r="128" spans="1:8" s="15" customFormat="1" x14ac:dyDescent="0.15">
      <c r="A128" s="7"/>
      <c r="B128" s="31"/>
      <c r="C128" s="11"/>
      <c r="D128" s="11"/>
      <c r="E128" s="8"/>
      <c r="F128" s="34"/>
      <c r="G128" s="10"/>
      <c r="H128" s="10"/>
    </row>
    <row r="129" spans="1:8" s="15" customFormat="1" ht="14" x14ac:dyDescent="0.15">
      <c r="A129" s="7"/>
      <c r="B129" s="31"/>
      <c r="C129" s="14" t="s">
        <v>328</v>
      </c>
      <c r="D129" s="11"/>
      <c r="E129" s="8"/>
      <c r="F129" s="34"/>
      <c r="G129" s="10"/>
      <c r="H129" s="10"/>
    </row>
    <row r="130" spans="1:8" s="15" customFormat="1" x14ac:dyDescent="0.15">
      <c r="A130" s="7"/>
      <c r="B130" s="31"/>
      <c r="C130" s="11"/>
      <c r="D130" s="11"/>
      <c r="E130" s="8"/>
      <c r="F130" s="34"/>
      <c r="G130" s="10"/>
      <c r="H130" s="10"/>
    </row>
    <row r="131" spans="1:8" s="15" customFormat="1" ht="14" x14ac:dyDescent="0.15">
      <c r="A131" s="3">
        <v>9</v>
      </c>
      <c r="B131" s="31"/>
      <c r="C131" s="14" t="s">
        <v>653</v>
      </c>
      <c r="D131" s="11"/>
      <c r="E131" s="8"/>
      <c r="F131" s="8"/>
      <c r="G131" s="10"/>
      <c r="H131" s="10"/>
    </row>
    <row r="132" spans="1:8" s="15" customFormat="1" x14ac:dyDescent="0.15">
      <c r="A132" s="7"/>
      <c r="B132" s="8"/>
      <c r="C132" s="11"/>
      <c r="D132" s="11"/>
      <c r="E132" s="8"/>
      <c r="F132" s="8"/>
      <c r="G132" s="10"/>
      <c r="H132" s="10"/>
    </row>
    <row r="133" spans="1:8" s="15" customFormat="1" ht="42" x14ac:dyDescent="0.15">
      <c r="A133" s="7">
        <v>9.01</v>
      </c>
      <c r="B133" s="44" t="s">
        <v>747</v>
      </c>
      <c r="C133" s="68" t="s">
        <v>654</v>
      </c>
      <c r="D133" s="41" t="s">
        <v>15</v>
      </c>
      <c r="E133" s="48" t="s">
        <v>76</v>
      </c>
      <c r="F133" s="48">
        <v>3</v>
      </c>
      <c r="G133" s="49">
        <v>9</v>
      </c>
      <c r="H133" s="10">
        <f>SUM(F133*G133)</f>
        <v>27</v>
      </c>
    </row>
    <row r="134" spans="1:8" s="15" customFormat="1" x14ac:dyDescent="0.15">
      <c r="A134" s="7"/>
      <c r="B134" s="31"/>
      <c r="C134"/>
      <c r="D134" s="41"/>
      <c r="E134" s="48"/>
      <c r="F134" s="48"/>
      <c r="G134" s="49"/>
      <c r="H134" s="10"/>
    </row>
    <row r="135" spans="1:8" s="15" customFormat="1" ht="28" x14ac:dyDescent="0.15">
      <c r="A135" s="7">
        <v>9.02</v>
      </c>
      <c r="B135" s="33" t="s">
        <v>743</v>
      </c>
      <c r="C135" s="68" t="s">
        <v>655</v>
      </c>
      <c r="D135" s="41" t="s">
        <v>656</v>
      </c>
      <c r="E135" t="s">
        <v>8</v>
      </c>
      <c r="F135" s="48"/>
      <c r="G135" s="49"/>
      <c r="H135" s="10">
        <v>200</v>
      </c>
    </row>
    <row r="136" spans="1:8" s="15" customFormat="1" x14ac:dyDescent="0.15">
      <c r="A136" s="7"/>
      <c r="B136" s="31"/>
      <c r="C136"/>
      <c r="D136"/>
      <c r="E136" s="48"/>
      <c r="F136" s="48"/>
      <c r="G136" s="49"/>
      <c r="H136" s="10"/>
    </row>
    <row r="137" spans="1:8" s="15" customFormat="1" ht="28" x14ac:dyDescent="0.15">
      <c r="A137" s="7">
        <v>9.0299999999999994</v>
      </c>
      <c r="B137" s="33" t="s">
        <v>743</v>
      </c>
      <c r="C137" s="11" t="s">
        <v>657</v>
      </c>
      <c r="D137" s="11" t="s">
        <v>658</v>
      </c>
      <c r="E137" s="8" t="s">
        <v>8</v>
      </c>
      <c r="F137" s="8"/>
      <c r="G137" s="10"/>
      <c r="H137" s="10">
        <v>150</v>
      </c>
    </row>
    <row r="138" spans="1:8" s="15" customFormat="1" x14ac:dyDescent="0.15">
      <c r="A138" s="7"/>
      <c r="B138" s="8"/>
      <c r="C138" s="11"/>
      <c r="D138" s="11"/>
      <c r="E138" s="8"/>
      <c r="F138" s="8"/>
      <c r="G138" s="10"/>
      <c r="H138" s="10"/>
    </row>
    <row r="139" spans="1:8" s="15" customFormat="1" ht="28" x14ac:dyDescent="0.15">
      <c r="A139" s="7">
        <v>9.0399999999999991</v>
      </c>
      <c r="B139" s="44" t="s">
        <v>747</v>
      </c>
      <c r="C139" s="38" t="s">
        <v>659</v>
      </c>
      <c r="D139" s="38" t="s">
        <v>14</v>
      </c>
      <c r="E139" s="48" t="s">
        <v>76</v>
      </c>
      <c r="F139" s="48">
        <v>12</v>
      </c>
      <c r="G139" s="10">
        <v>8</v>
      </c>
      <c r="H139" s="10">
        <f>SUM(F139*G139)</f>
        <v>96</v>
      </c>
    </row>
    <row r="140" spans="1:8" s="15" customFormat="1" x14ac:dyDescent="0.15">
      <c r="A140" s="7"/>
      <c r="B140" s="31"/>
      <c r="C140" s="11"/>
      <c r="D140" s="11"/>
      <c r="E140" s="8"/>
      <c r="F140" s="34"/>
      <c r="G140" s="10"/>
      <c r="H140" s="10"/>
    </row>
    <row r="141" spans="1:8" s="15" customFormat="1" ht="28" x14ac:dyDescent="0.15">
      <c r="A141" s="7">
        <v>9.0500000000000007</v>
      </c>
      <c r="B141" s="44" t="s">
        <v>747</v>
      </c>
      <c r="C141" s="38" t="s">
        <v>273</v>
      </c>
      <c r="D141" s="38" t="s">
        <v>732</v>
      </c>
      <c r="E141" s="48" t="s">
        <v>76</v>
      </c>
      <c r="F141" s="48">
        <v>4</v>
      </c>
      <c r="G141" s="10">
        <v>11</v>
      </c>
      <c r="H141" s="10">
        <f>SUM(F141*G141)</f>
        <v>44</v>
      </c>
    </row>
    <row r="142" spans="1:8" s="15" customFormat="1" x14ac:dyDescent="0.15">
      <c r="A142" s="7"/>
      <c r="B142" s="8"/>
      <c r="C142" s="11"/>
      <c r="D142" s="11"/>
      <c r="E142" s="8"/>
      <c r="F142" s="34"/>
      <c r="G142" s="10"/>
      <c r="H142" s="10"/>
    </row>
    <row r="143" spans="1:8" s="15" customFormat="1" ht="28" x14ac:dyDescent="0.15">
      <c r="A143" s="7">
        <v>9.06</v>
      </c>
      <c r="B143" s="33" t="s">
        <v>743</v>
      </c>
      <c r="C143" s="41" t="s">
        <v>284</v>
      </c>
      <c r="D143" s="41" t="s">
        <v>285</v>
      </c>
      <c r="E143" s="48" t="s">
        <v>76</v>
      </c>
      <c r="F143" s="48">
        <v>3</v>
      </c>
      <c r="G143" s="10">
        <v>48</v>
      </c>
      <c r="H143" s="10">
        <f>SUM(F143*G143)</f>
        <v>144</v>
      </c>
    </row>
    <row r="144" spans="1:8" s="15" customFormat="1" x14ac:dyDescent="0.15">
      <c r="A144" s="7"/>
      <c r="B144" s="8"/>
      <c r="C144" s="14"/>
      <c r="D144" s="11"/>
      <c r="E144" s="8"/>
      <c r="F144" s="8"/>
      <c r="G144" s="10"/>
      <c r="H144" s="10"/>
    </row>
    <row r="145" spans="1:8" s="15" customFormat="1" ht="28" x14ac:dyDescent="0.15">
      <c r="A145" s="7">
        <v>9.07</v>
      </c>
      <c r="B145" s="44" t="s">
        <v>747</v>
      </c>
      <c r="C145" s="11" t="s">
        <v>78</v>
      </c>
      <c r="D145" s="11" t="s">
        <v>539</v>
      </c>
      <c r="E145" s="8" t="s">
        <v>11</v>
      </c>
      <c r="F145" s="8">
        <v>6</v>
      </c>
      <c r="G145" s="10">
        <v>5</v>
      </c>
      <c r="H145" s="10">
        <f>SUM(F145*G145)</f>
        <v>30</v>
      </c>
    </row>
    <row r="146" spans="1:8" s="15" customFormat="1" x14ac:dyDescent="0.15">
      <c r="A146" s="7"/>
      <c r="B146" s="31"/>
      <c r="C146" s="11"/>
      <c r="D146" s="11"/>
      <c r="E146" s="8"/>
      <c r="F146" s="8"/>
      <c r="G146" s="10"/>
      <c r="H146" s="10"/>
    </row>
    <row r="147" spans="1:8" s="15" customFormat="1" ht="28" x14ac:dyDescent="0.15">
      <c r="A147" s="7">
        <v>9.08</v>
      </c>
      <c r="B147" s="8" t="s">
        <v>747</v>
      </c>
      <c r="C147" s="11" t="s">
        <v>92</v>
      </c>
      <c r="D147" s="11" t="s">
        <v>733</v>
      </c>
      <c r="E147" s="8" t="s">
        <v>10</v>
      </c>
      <c r="F147" s="34">
        <v>1</v>
      </c>
      <c r="G147" s="10">
        <v>120</v>
      </c>
      <c r="H147" s="10">
        <f>SUM(F147*G147)</f>
        <v>120</v>
      </c>
    </row>
    <row r="148" spans="1:8" s="15" customFormat="1" x14ac:dyDescent="0.15">
      <c r="A148" s="7"/>
      <c r="B148" s="8"/>
      <c r="C148" s="11"/>
      <c r="D148" s="11"/>
      <c r="E148" s="8"/>
      <c r="F148" s="34"/>
      <c r="G148" s="10"/>
      <c r="H148" s="10"/>
    </row>
    <row r="149" spans="1:8" s="15" customFormat="1" ht="28" x14ac:dyDescent="0.15">
      <c r="A149" s="7">
        <v>9.09</v>
      </c>
      <c r="B149" s="33" t="s">
        <v>743</v>
      </c>
      <c r="C149" s="11" t="s">
        <v>194</v>
      </c>
      <c r="D149" s="11" t="s">
        <v>195</v>
      </c>
      <c r="E149" s="8" t="s">
        <v>8</v>
      </c>
      <c r="F149" s="8"/>
      <c r="G149" s="10"/>
      <c r="H149" s="10">
        <v>30</v>
      </c>
    </row>
    <row r="150" spans="1:8" s="15" customFormat="1" x14ac:dyDescent="0.15">
      <c r="A150" s="7"/>
      <c r="B150" s="33"/>
      <c r="C150" s="11"/>
      <c r="D150" s="11"/>
      <c r="E150" s="8"/>
      <c r="F150" s="8"/>
      <c r="G150" s="10"/>
      <c r="H150" s="10"/>
    </row>
    <row r="151" spans="1:8" s="15" customFormat="1" ht="28" x14ac:dyDescent="0.15">
      <c r="A151" s="7">
        <v>9.1</v>
      </c>
      <c r="B151" s="33" t="s">
        <v>745</v>
      </c>
      <c r="C151" s="11" t="s">
        <v>278</v>
      </c>
      <c r="D151" s="11" t="s">
        <v>279</v>
      </c>
      <c r="E151" s="8" t="s">
        <v>8</v>
      </c>
      <c r="F151" s="8"/>
      <c r="G151" s="10"/>
      <c r="H151" s="10" t="s">
        <v>26</v>
      </c>
    </row>
    <row r="152" spans="1:8" s="15" customFormat="1" x14ac:dyDescent="0.15">
      <c r="A152" s="7"/>
      <c r="B152" s="33"/>
      <c r="C152" s="11"/>
      <c r="D152" s="11"/>
      <c r="E152" s="8"/>
      <c r="F152" s="8"/>
      <c r="G152" s="10"/>
      <c r="H152" s="10"/>
    </row>
    <row r="153" spans="1:8" s="15" customFormat="1" ht="42" x14ac:dyDescent="0.15">
      <c r="A153" s="7">
        <v>9.11</v>
      </c>
      <c r="B153" s="44" t="s">
        <v>747</v>
      </c>
      <c r="C153" s="11" t="s">
        <v>660</v>
      </c>
      <c r="D153" s="11" t="s">
        <v>672</v>
      </c>
      <c r="E153" s="8" t="s">
        <v>8</v>
      </c>
      <c r="F153" s="8"/>
      <c r="G153" s="10"/>
      <c r="H153" s="10">
        <v>75</v>
      </c>
    </row>
    <row r="154" spans="1:8" s="15" customFormat="1" x14ac:dyDescent="0.15">
      <c r="A154" s="7"/>
      <c r="B154" s="33"/>
      <c r="C154" s="11"/>
      <c r="D154" s="11"/>
      <c r="E154" s="8"/>
      <c r="F154" s="8"/>
      <c r="G154" s="10"/>
      <c r="H154" s="10"/>
    </row>
    <row r="155" spans="1:8" s="15" customFormat="1" ht="28" x14ac:dyDescent="0.15">
      <c r="A155" s="7">
        <v>9.1199999999999992</v>
      </c>
      <c r="B155" s="33" t="s">
        <v>743</v>
      </c>
      <c r="C155" s="11" t="s">
        <v>662</v>
      </c>
      <c r="D155" s="11" t="s">
        <v>822</v>
      </c>
      <c r="E155" s="8" t="s">
        <v>8</v>
      </c>
      <c r="F155" s="8"/>
      <c r="G155" s="10"/>
      <c r="H155" s="10">
        <v>25</v>
      </c>
    </row>
    <row r="156" spans="1:8" s="15" customFormat="1" x14ac:dyDescent="0.15">
      <c r="A156" s="7"/>
      <c r="B156" s="33"/>
      <c r="C156" s="11"/>
      <c r="D156" s="11"/>
      <c r="E156" s="8"/>
      <c r="F156" s="8"/>
      <c r="G156" s="10"/>
      <c r="H156" s="10"/>
    </row>
    <row r="157" spans="1:8" s="15" customFormat="1" ht="14" x14ac:dyDescent="0.15">
      <c r="A157" s="7"/>
      <c r="B157" s="31"/>
      <c r="C157" s="14" t="s">
        <v>661</v>
      </c>
      <c r="D157" s="11"/>
      <c r="E157" s="8"/>
      <c r="F157" s="8"/>
      <c r="G157" s="10"/>
      <c r="H157" s="10"/>
    </row>
    <row r="158" spans="1:8" s="15" customFormat="1" x14ac:dyDescent="0.15">
      <c r="A158" s="7"/>
      <c r="B158" s="33"/>
      <c r="C158" s="11"/>
      <c r="D158" s="11"/>
      <c r="E158" s="8"/>
      <c r="F158" s="8"/>
      <c r="G158" s="10"/>
      <c r="H158" s="10"/>
    </row>
    <row r="159" spans="1:8" s="15" customFormat="1" ht="42" x14ac:dyDescent="0.15">
      <c r="A159" s="7">
        <v>9.1300000000000008</v>
      </c>
      <c r="B159" s="44" t="s">
        <v>747</v>
      </c>
      <c r="C159" s="41" t="s">
        <v>654</v>
      </c>
      <c r="D159" s="41" t="s">
        <v>15</v>
      </c>
      <c r="E159" s="48" t="s">
        <v>76</v>
      </c>
      <c r="F159" s="48">
        <v>3</v>
      </c>
      <c r="G159" s="49">
        <v>9</v>
      </c>
      <c r="H159" s="10">
        <f>SUM(F159*G159)</f>
        <v>27</v>
      </c>
    </row>
    <row r="160" spans="1:8" s="15" customFormat="1" x14ac:dyDescent="0.15">
      <c r="A160" s="7"/>
      <c r="B160" s="8"/>
      <c r="C160" s="41"/>
      <c r="D160" s="41"/>
      <c r="E160" s="48"/>
      <c r="F160" s="48"/>
      <c r="G160" s="49"/>
      <c r="H160" s="10"/>
    </row>
    <row r="161" spans="1:8" s="15" customFormat="1" ht="28" x14ac:dyDescent="0.15">
      <c r="A161" s="7">
        <v>9.14</v>
      </c>
      <c r="B161" s="33" t="s">
        <v>743</v>
      </c>
      <c r="C161" s="41" t="s">
        <v>655</v>
      </c>
      <c r="D161" s="41" t="s">
        <v>282</v>
      </c>
      <c r="E161" s="48" t="s">
        <v>8</v>
      </c>
      <c r="F161" s="48"/>
      <c r="G161" s="49"/>
      <c r="H161" s="10">
        <v>200</v>
      </c>
    </row>
    <row r="162" spans="1:8" s="15" customFormat="1" x14ac:dyDescent="0.15">
      <c r="A162" s="7"/>
      <c r="B162" s="8"/>
      <c r="C162" s="11"/>
      <c r="D162" s="11"/>
      <c r="E162" s="8"/>
      <c r="F162" s="8"/>
      <c r="G162" s="10"/>
      <c r="H162" s="10"/>
    </row>
    <row r="163" spans="1:8" s="15" customFormat="1" ht="28" x14ac:dyDescent="0.15">
      <c r="A163" s="7">
        <v>9.15</v>
      </c>
      <c r="B163" s="33" t="s">
        <v>743</v>
      </c>
      <c r="C163" s="11" t="s">
        <v>657</v>
      </c>
      <c r="D163" s="11" t="s">
        <v>658</v>
      </c>
      <c r="E163" s="8" t="s">
        <v>8</v>
      </c>
      <c r="F163" s="8"/>
      <c r="G163" s="10"/>
      <c r="H163" s="10">
        <v>150</v>
      </c>
    </row>
    <row r="164" spans="1:8" s="15" customFormat="1" x14ac:dyDescent="0.15">
      <c r="A164" s="7"/>
      <c r="B164" s="33"/>
      <c r="C164" s="11"/>
      <c r="D164" s="11"/>
      <c r="E164" s="8"/>
      <c r="F164" s="8"/>
      <c r="G164" s="10"/>
      <c r="H164" s="10"/>
    </row>
    <row r="165" spans="1:8" s="15" customFormat="1" ht="28" x14ac:dyDescent="0.15">
      <c r="A165" s="7">
        <v>9.16</v>
      </c>
      <c r="B165" s="44" t="s">
        <v>747</v>
      </c>
      <c r="C165" s="38" t="s">
        <v>659</v>
      </c>
      <c r="D165" s="38" t="s">
        <v>102</v>
      </c>
      <c r="E165" s="48" t="s">
        <v>76</v>
      </c>
      <c r="F165" s="48">
        <v>9</v>
      </c>
      <c r="G165" s="10">
        <v>8</v>
      </c>
      <c r="H165" s="10">
        <f>SUM(F165*G165)</f>
        <v>72</v>
      </c>
    </row>
    <row r="166" spans="1:8" s="15" customFormat="1" x14ac:dyDescent="0.15">
      <c r="A166" s="7"/>
      <c r="B166" s="31"/>
      <c r="C166" s="11"/>
      <c r="D166" s="11"/>
      <c r="E166" s="8"/>
      <c r="F166" s="34"/>
      <c r="G166" s="10"/>
      <c r="H166" s="10"/>
    </row>
    <row r="167" spans="1:8" s="15" customFormat="1" ht="28" x14ac:dyDescent="0.15">
      <c r="A167" s="7">
        <v>9.17</v>
      </c>
      <c r="B167" s="44" t="s">
        <v>747</v>
      </c>
      <c r="C167" s="38" t="s">
        <v>273</v>
      </c>
      <c r="D167" s="38" t="s">
        <v>732</v>
      </c>
      <c r="E167" s="48" t="s">
        <v>76</v>
      </c>
      <c r="F167" s="48">
        <v>8</v>
      </c>
      <c r="G167" s="10">
        <v>11</v>
      </c>
      <c r="H167" s="10">
        <f>SUM(F167*G167)</f>
        <v>88</v>
      </c>
    </row>
    <row r="168" spans="1:8" s="15" customFormat="1" x14ac:dyDescent="0.15">
      <c r="A168" s="7"/>
      <c r="B168" s="31"/>
      <c r="C168" s="11"/>
      <c r="D168" s="11"/>
      <c r="E168" s="8"/>
      <c r="F168" s="34"/>
      <c r="G168" s="10"/>
      <c r="H168" s="10"/>
    </row>
    <row r="169" spans="1:8" s="15" customFormat="1" ht="28" x14ac:dyDescent="0.15">
      <c r="A169" s="7">
        <v>9.18</v>
      </c>
      <c r="B169" s="44" t="s">
        <v>747</v>
      </c>
      <c r="C169" s="41" t="s">
        <v>286</v>
      </c>
      <c r="D169" s="41" t="s">
        <v>287</v>
      </c>
      <c r="E169" s="48" t="s">
        <v>76</v>
      </c>
      <c r="F169" s="48">
        <v>3</v>
      </c>
      <c r="G169" s="10">
        <v>48</v>
      </c>
      <c r="H169" s="10">
        <f>SUM(F169*G169)</f>
        <v>144</v>
      </c>
    </row>
    <row r="170" spans="1:8" s="15" customFormat="1" x14ac:dyDescent="0.15">
      <c r="A170" s="7"/>
      <c r="B170" s="31"/>
      <c r="C170" s="14"/>
      <c r="D170" s="11"/>
      <c r="E170" s="8"/>
      <c r="F170" s="8"/>
      <c r="G170" s="10"/>
      <c r="H170" s="10"/>
    </row>
    <row r="171" spans="1:8" s="15" customFormat="1" ht="28" x14ac:dyDescent="0.15">
      <c r="A171" s="7">
        <v>9.19</v>
      </c>
      <c r="B171" s="44" t="s">
        <v>747</v>
      </c>
      <c r="C171" s="11" t="s">
        <v>78</v>
      </c>
      <c r="D171" s="11" t="s">
        <v>539</v>
      </c>
      <c r="E171" s="8" t="s">
        <v>11</v>
      </c>
      <c r="F171" s="8">
        <v>2</v>
      </c>
      <c r="G171" s="10">
        <v>5</v>
      </c>
      <c r="H171" s="10">
        <f>SUM(F171*G171)</f>
        <v>10</v>
      </c>
    </row>
    <row r="172" spans="1:8" s="15" customFormat="1" x14ac:dyDescent="0.15">
      <c r="A172" s="7"/>
      <c r="B172" s="31"/>
      <c r="C172" s="11"/>
      <c r="D172" s="11"/>
      <c r="E172" s="8"/>
      <c r="F172" s="8"/>
      <c r="G172" s="10"/>
      <c r="H172" s="10"/>
    </row>
    <row r="173" spans="1:8" s="15" customFormat="1" ht="42" x14ac:dyDescent="0.15">
      <c r="A173" s="7">
        <v>9.1999999999999993</v>
      </c>
      <c r="B173" s="33" t="s">
        <v>743</v>
      </c>
      <c r="C173" s="11" t="s">
        <v>663</v>
      </c>
      <c r="D173" s="11" t="s">
        <v>664</v>
      </c>
      <c r="E173" s="8" t="s">
        <v>8</v>
      </c>
      <c r="F173" s="8"/>
      <c r="G173" s="10"/>
      <c r="H173" s="10">
        <v>250</v>
      </c>
    </row>
    <row r="174" spans="1:8" s="15" customFormat="1" x14ac:dyDescent="0.15">
      <c r="A174" s="7"/>
      <c r="B174" s="31"/>
      <c r="C174" s="11"/>
      <c r="D174" s="11"/>
      <c r="E174" s="8"/>
      <c r="F174" s="8"/>
      <c r="G174" s="10"/>
      <c r="H174" s="10"/>
    </row>
    <row r="175" spans="1:8" s="15" customFormat="1" ht="28" x14ac:dyDescent="0.15">
      <c r="A175" s="7">
        <v>9.2100000000000009</v>
      </c>
      <c r="B175" s="33" t="s">
        <v>745</v>
      </c>
      <c r="C175" s="11" t="s">
        <v>278</v>
      </c>
      <c r="D175" s="11" t="s">
        <v>279</v>
      </c>
      <c r="E175" s="8" t="s">
        <v>8</v>
      </c>
      <c r="F175" s="8"/>
      <c r="G175" s="10"/>
      <c r="H175" s="10" t="s">
        <v>26</v>
      </c>
    </row>
    <row r="176" spans="1:8" s="15" customFormat="1" x14ac:dyDescent="0.15">
      <c r="A176" s="7"/>
      <c r="B176" s="31"/>
      <c r="C176" s="11"/>
      <c r="D176" s="11"/>
      <c r="E176" s="8"/>
      <c r="F176" s="8"/>
      <c r="G176" s="10"/>
      <c r="H176" s="10"/>
    </row>
    <row r="177" spans="1:8" s="15" customFormat="1" ht="28" x14ac:dyDescent="0.15">
      <c r="A177" s="7">
        <v>9.2200000000000006</v>
      </c>
      <c r="B177" s="8" t="s">
        <v>747</v>
      </c>
      <c r="C177" s="11" t="s">
        <v>665</v>
      </c>
      <c r="D177" s="11" t="s">
        <v>672</v>
      </c>
      <c r="E177" s="8" t="s">
        <v>8</v>
      </c>
      <c r="F177" s="8"/>
      <c r="G177" s="10"/>
      <c r="H177" s="10">
        <v>75</v>
      </c>
    </row>
    <row r="178" spans="1:8" s="15" customFormat="1" x14ac:dyDescent="0.15">
      <c r="A178" s="7"/>
      <c r="B178" s="33"/>
      <c r="C178" s="14"/>
      <c r="D178" s="11"/>
      <c r="E178" s="8"/>
      <c r="F178" s="9"/>
      <c r="G178" s="10"/>
      <c r="H178" s="10"/>
    </row>
    <row r="179" spans="1:8" s="15" customFormat="1" ht="14" x14ac:dyDescent="0.15">
      <c r="A179" s="7"/>
      <c r="B179" s="8"/>
      <c r="C179" s="14" t="s">
        <v>213</v>
      </c>
      <c r="D179" s="11"/>
      <c r="E179" s="8"/>
      <c r="F179" s="9"/>
      <c r="G179" s="10"/>
      <c r="H179" s="10"/>
    </row>
    <row r="180" spans="1:8" s="15" customFormat="1" x14ac:dyDescent="0.15">
      <c r="A180" s="7"/>
      <c r="B180" s="31"/>
      <c r="C180" s="11"/>
      <c r="D180" s="11"/>
      <c r="E180" s="8"/>
      <c r="F180" s="9"/>
      <c r="G180" s="10"/>
      <c r="H180" s="10"/>
    </row>
    <row r="181" spans="1:8" s="15" customFormat="1" ht="28" x14ac:dyDescent="0.15">
      <c r="A181" s="7">
        <v>9.23</v>
      </c>
      <c r="B181" s="8" t="s">
        <v>747</v>
      </c>
      <c r="C181" s="11" t="s">
        <v>675</v>
      </c>
      <c r="D181" s="11" t="s">
        <v>671</v>
      </c>
      <c r="E181" s="48" t="s">
        <v>76</v>
      </c>
      <c r="F181" s="48">
        <v>5</v>
      </c>
      <c r="G181" s="49">
        <v>9</v>
      </c>
      <c r="H181" s="10">
        <f>SUM(F181*G181)</f>
        <v>45</v>
      </c>
    </row>
    <row r="182" spans="1:8" s="15" customFormat="1" x14ac:dyDescent="0.15">
      <c r="A182" s="7"/>
      <c r="B182" s="31"/>
      <c r="C182" s="11"/>
      <c r="D182" s="11"/>
      <c r="E182" s="8"/>
      <c r="F182" s="8"/>
      <c r="G182" s="10"/>
      <c r="H182" s="10"/>
    </row>
    <row r="183" spans="1:8" s="15" customFormat="1" ht="28" x14ac:dyDescent="0.15">
      <c r="A183" s="7">
        <v>9.24</v>
      </c>
      <c r="B183" s="33" t="s">
        <v>743</v>
      </c>
      <c r="C183" s="11" t="s">
        <v>666</v>
      </c>
      <c r="D183" s="11" t="s">
        <v>667</v>
      </c>
      <c r="E183" s="8" t="s">
        <v>30</v>
      </c>
      <c r="F183" s="8"/>
      <c r="G183" s="10"/>
      <c r="H183" s="10">
        <v>1000</v>
      </c>
    </row>
    <row r="184" spans="1:8" s="15" customFormat="1" x14ac:dyDescent="0.15">
      <c r="A184" s="7"/>
      <c r="B184" s="31"/>
      <c r="C184" s="11"/>
      <c r="D184" s="11"/>
      <c r="E184" s="8"/>
      <c r="F184" s="8"/>
      <c r="G184" s="10"/>
      <c r="H184" s="10"/>
    </row>
    <row r="185" spans="1:8" s="15" customFormat="1" ht="28" x14ac:dyDescent="0.15">
      <c r="A185" s="7">
        <v>9.25</v>
      </c>
      <c r="B185" s="8" t="s">
        <v>747</v>
      </c>
      <c r="C185" s="11" t="s">
        <v>669</v>
      </c>
      <c r="D185" s="11" t="s">
        <v>670</v>
      </c>
      <c r="E185" s="8" t="s">
        <v>11</v>
      </c>
      <c r="F185" s="8">
        <v>8</v>
      </c>
      <c r="G185" s="10">
        <v>12</v>
      </c>
      <c r="H185" s="10">
        <f>SUM(F185*G185)</f>
        <v>96</v>
      </c>
    </row>
    <row r="186" spans="1:8" s="15" customFormat="1" x14ac:dyDescent="0.15">
      <c r="A186" s="7"/>
      <c r="B186" s="8"/>
      <c r="C186" s="11"/>
      <c r="D186" s="11"/>
      <c r="E186" s="8"/>
      <c r="F186" s="8"/>
      <c r="G186" s="10"/>
      <c r="H186" s="10"/>
    </row>
    <row r="187" spans="1:8" s="15" customFormat="1" ht="28" x14ac:dyDescent="0.15">
      <c r="A187" s="7">
        <v>9.26</v>
      </c>
      <c r="B187" s="33" t="s">
        <v>743</v>
      </c>
      <c r="C187" s="11" t="s">
        <v>283</v>
      </c>
      <c r="D187" s="11" t="s">
        <v>805</v>
      </c>
      <c r="E187" s="8" t="s">
        <v>8</v>
      </c>
      <c r="F187" s="8"/>
      <c r="G187" s="10"/>
      <c r="H187" s="10">
        <v>100</v>
      </c>
    </row>
    <row r="188" spans="1:8" s="15" customFormat="1" x14ac:dyDescent="0.15">
      <c r="A188" s="7"/>
      <c r="B188" s="31"/>
      <c r="C188" s="11"/>
      <c r="D188" s="11"/>
      <c r="E188" s="8"/>
      <c r="F188" s="8"/>
      <c r="G188" s="10"/>
      <c r="H188" s="10"/>
    </row>
    <row r="189" spans="1:8" s="15" customFormat="1" ht="28" x14ac:dyDescent="0.15">
      <c r="A189" s="7">
        <v>9.27</v>
      </c>
      <c r="B189" s="44" t="s">
        <v>747</v>
      </c>
      <c r="C189" s="38" t="s">
        <v>659</v>
      </c>
      <c r="D189" s="38" t="s">
        <v>102</v>
      </c>
      <c r="E189" s="48" t="s">
        <v>76</v>
      </c>
      <c r="F189" s="48">
        <v>11</v>
      </c>
      <c r="G189" s="10">
        <v>8</v>
      </c>
      <c r="H189" s="10">
        <f>SUM(F189*G189)</f>
        <v>88</v>
      </c>
    </row>
    <row r="190" spans="1:8" s="15" customFormat="1" x14ac:dyDescent="0.15">
      <c r="A190" s="7"/>
      <c r="B190" s="31"/>
      <c r="C190" s="38"/>
      <c r="D190" s="38"/>
      <c r="E190" s="48"/>
      <c r="F190" s="48"/>
      <c r="G190" s="10"/>
      <c r="H190" s="10"/>
    </row>
    <row r="191" spans="1:8" s="15" customFormat="1" ht="28" x14ac:dyDescent="0.15">
      <c r="A191" s="7">
        <v>9.2799999999999994</v>
      </c>
      <c r="B191" s="44" t="s">
        <v>747</v>
      </c>
      <c r="C191" s="38" t="s">
        <v>273</v>
      </c>
      <c r="D191" s="38" t="s">
        <v>732</v>
      </c>
      <c r="E191" s="48" t="s">
        <v>76</v>
      </c>
      <c r="F191" s="48">
        <v>13</v>
      </c>
      <c r="G191" s="10">
        <v>9</v>
      </c>
      <c r="H191" s="10">
        <f>SUM(F191*G191)</f>
        <v>117</v>
      </c>
    </row>
    <row r="192" spans="1:8" s="15" customFormat="1" x14ac:dyDescent="0.15">
      <c r="A192" s="7"/>
      <c r="B192" s="31"/>
      <c r="C192" s="11"/>
      <c r="D192" s="11"/>
      <c r="E192" s="8"/>
      <c r="F192" s="34"/>
      <c r="G192" s="10"/>
      <c r="H192" s="10"/>
    </row>
    <row r="193" spans="1:8" s="15" customFormat="1" ht="28" x14ac:dyDescent="0.15">
      <c r="A193" s="7">
        <v>9.2899999999999991</v>
      </c>
      <c r="B193" s="33" t="s">
        <v>743</v>
      </c>
      <c r="C193" s="41" t="s">
        <v>288</v>
      </c>
      <c r="D193" s="41" t="s">
        <v>285</v>
      </c>
      <c r="E193" s="48" t="s">
        <v>76</v>
      </c>
      <c r="F193" s="48">
        <v>5</v>
      </c>
      <c r="G193" s="10">
        <v>48</v>
      </c>
      <c r="H193" s="10">
        <f>SUM(F193*G193)</f>
        <v>240</v>
      </c>
    </row>
    <row r="194" spans="1:8" s="15" customFormat="1" x14ac:dyDescent="0.15">
      <c r="A194" s="7"/>
      <c r="B194" s="31"/>
      <c r="C194" s="41"/>
      <c r="D194" s="41"/>
      <c r="E194" s="48"/>
      <c r="F194" s="48"/>
      <c r="G194" s="10"/>
      <c r="H194" s="10"/>
    </row>
    <row r="195" spans="1:8" s="15" customFormat="1" ht="42" x14ac:dyDescent="0.15">
      <c r="A195" s="7">
        <v>9.3000000000000007</v>
      </c>
      <c r="B195" s="33" t="s">
        <v>743</v>
      </c>
      <c r="C195" s="41" t="s">
        <v>289</v>
      </c>
      <c r="D195" s="41" t="s">
        <v>290</v>
      </c>
      <c r="E195" s="42" t="s">
        <v>8</v>
      </c>
      <c r="F195" s="48"/>
      <c r="G195" s="10"/>
      <c r="H195" s="10">
        <v>100</v>
      </c>
    </row>
    <row r="196" spans="1:8" s="15" customFormat="1" x14ac:dyDescent="0.15">
      <c r="A196" s="7"/>
      <c r="B196" s="31"/>
      <c r="C196" s="41"/>
      <c r="D196" s="41"/>
      <c r="E196" s="48"/>
      <c r="F196" s="48"/>
      <c r="G196" s="10"/>
      <c r="H196" s="10"/>
    </row>
    <row r="197" spans="1:8" s="15" customFormat="1" ht="28" x14ac:dyDescent="0.15">
      <c r="A197" s="7">
        <v>9.31</v>
      </c>
      <c r="B197" s="33" t="s">
        <v>745</v>
      </c>
      <c r="C197" s="68" t="s">
        <v>278</v>
      </c>
      <c r="D197" s="41" t="s">
        <v>279</v>
      </c>
      <c r="E197" s="48" t="s">
        <v>8</v>
      </c>
      <c r="F197" s="48"/>
      <c r="G197" s="10"/>
      <c r="H197" s="10" t="s">
        <v>26</v>
      </c>
    </row>
    <row r="198" spans="1:8" s="15" customFormat="1" x14ac:dyDescent="0.15">
      <c r="A198" s="7"/>
      <c r="B198" s="8"/>
      <c r="C198" s="41"/>
      <c r="D198" s="41"/>
      <c r="E198" s="48"/>
      <c r="F198" s="48"/>
      <c r="G198" s="10"/>
      <c r="H198" s="10"/>
    </row>
    <row r="199" spans="1:8" s="15" customFormat="1" ht="28" x14ac:dyDescent="0.15">
      <c r="A199" s="7">
        <v>9.32</v>
      </c>
      <c r="B199" s="33" t="s">
        <v>745</v>
      </c>
      <c r="C199" s="68" t="s">
        <v>673</v>
      </c>
      <c r="D199" s="41" t="s">
        <v>674</v>
      </c>
      <c r="E199" s="48" t="s">
        <v>8</v>
      </c>
      <c r="F199" s="48"/>
      <c r="G199" s="10"/>
      <c r="H199" s="10">
        <v>40</v>
      </c>
    </row>
    <row r="200" spans="1:8" s="15" customFormat="1" x14ac:dyDescent="0.15">
      <c r="A200" s="7"/>
      <c r="B200" s="8"/>
      <c r="C200" s="41"/>
      <c r="D200" s="41"/>
      <c r="E200" s="48"/>
      <c r="F200" s="48"/>
      <c r="G200" s="10"/>
      <c r="H200" s="10"/>
    </row>
    <row r="201" spans="1:8" s="15" customFormat="1" ht="28" x14ac:dyDescent="0.15">
      <c r="A201" s="7">
        <v>9.33</v>
      </c>
      <c r="B201" s="44" t="s">
        <v>747</v>
      </c>
      <c r="C201" s="11" t="s">
        <v>668</v>
      </c>
      <c r="D201" s="11" t="s">
        <v>672</v>
      </c>
      <c r="E201" s="8" t="s">
        <v>8</v>
      </c>
      <c r="F201" s="8"/>
      <c r="G201" s="10"/>
      <c r="H201" s="10">
        <v>75</v>
      </c>
    </row>
    <row r="202" spans="1:8" s="15" customFormat="1" x14ac:dyDescent="0.15">
      <c r="A202" s="7"/>
      <c r="B202" s="33"/>
      <c r="C202" s="11"/>
      <c r="D202" s="11"/>
      <c r="E202" s="8"/>
      <c r="F202" s="8"/>
      <c r="G202" s="10"/>
      <c r="H202" s="10"/>
    </row>
    <row r="203" spans="1:8" s="15" customFormat="1" ht="14" x14ac:dyDescent="0.15">
      <c r="A203" s="7"/>
      <c r="B203" s="33"/>
      <c r="C203" s="14" t="s">
        <v>253</v>
      </c>
      <c r="D203" s="11"/>
      <c r="E203" s="8"/>
      <c r="F203" s="8"/>
      <c r="G203" s="10"/>
      <c r="H203" s="10"/>
    </row>
    <row r="204" spans="1:8" s="15" customFormat="1" x14ac:dyDescent="0.15">
      <c r="A204" s="7"/>
      <c r="B204" s="8"/>
      <c r="C204" s="11"/>
      <c r="D204" s="11"/>
      <c r="E204" s="8"/>
      <c r="F204" s="8"/>
      <c r="G204" s="10"/>
      <c r="H204" s="10"/>
    </row>
    <row r="205" spans="1:8" s="15" customFormat="1" ht="42" x14ac:dyDescent="0.15">
      <c r="A205" s="7">
        <v>9.34</v>
      </c>
      <c r="B205" s="31" t="s">
        <v>743</v>
      </c>
      <c r="C205" s="11" t="s">
        <v>680</v>
      </c>
      <c r="D205" s="11" t="s">
        <v>676</v>
      </c>
      <c r="E205" s="15" t="s">
        <v>8</v>
      </c>
      <c r="H205" s="10">
        <v>1000</v>
      </c>
    </row>
    <row r="206" spans="1:8" s="15" customFormat="1" x14ac:dyDescent="0.15">
      <c r="A206" s="7"/>
      <c r="B206" s="8"/>
      <c r="C206" s="11"/>
      <c r="D206" s="11"/>
      <c r="E206" s="48"/>
      <c r="F206" s="8"/>
      <c r="G206" s="10"/>
      <c r="H206" s="10"/>
    </row>
    <row r="207" spans="1:8" s="15" customFormat="1" ht="28" x14ac:dyDescent="0.15">
      <c r="A207" s="7">
        <v>9.35</v>
      </c>
      <c r="B207" s="44" t="s">
        <v>747</v>
      </c>
      <c r="C207" s="11" t="s">
        <v>823</v>
      </c>
      <c r="D207" s="11" t="s">
        <v>677</v>
      </c>
      <c r="E207" s="48" t="s">
        <v>76</v>
      </c>
      <c r="F207" s="8">
        <v>17</v>
      </c>
      <c r="G207" s="10">
        <v>10</v>
      </c>
      <c r="H207" s="10">
        <f>SUM(F207*G207)</f>
        <v>170</v>
      </c>
    </row>
    <row r="208" spans="1:8" s="15" customFormat="1" x14ac:dyDescent="0.15">
      <c r="A208" s="7"/>
      <c r="B208" s="31"/>
      <c r="C208" s="11"/>
      <c r="D208" s="11"/>
      <c r="E208" s="8"/>
      <c r="F208" s="8"/>
      <c r="G208" s="10"/>
      <c r="H208" s="10"/>
    </row>
    <row r="209" spans="1:8" s="15" customFormat="1" ht="28" x14ac:dyDescent="0.15">
      <c r="A209" s="7">
        <v>9.36</v>
      </c>
      <c r="B209" s="33" t="s">
        <v>743</v>
      </c>
      <c r="C209" s="38" t="s">
        <v>292</v>
      </c>
      <c r="D209" s="38" t="s">
        <v>806</v>
      </c>
      <c r="E209" s="8" t="s">
        <v>10</v>
      </c>
      <c r="F209" s="8">
        <v>2</v>
      </c>
      <c r="G209" s="10">
        <v>100</v>
      </c>
      <c r="H209" s="10">
        <f>SUM(F209*G209)</f>
        <v>200</v>
      </c>
    </row>
    <row r="210" spans="1:8" s="15" customFormat="1" x14ac:dyDescent="0.15">
      <c r="A210" s="7"/>
      <c r="B210" s="8"/>
      <c r="C210" s="11"/>
      <c r="D210" s="11"/>
      <c r="E210" s="8"/>
      <c r="F210" s="8"/>
      <c r="G210" s="10"/>
      <c r="H210" s="10"/>
    </row>
    <row r="211" spans="1:8" s="15" customFormat="1" ht="28" x14ac:dyDescent="0.15">
      <c r="A211" s="7">
        <v>9.3699999999999992</v>
      </c>
      <c r="B211" s="44" t="s">
        <v>747</v>
      </c>
      <c r="C211" s="11" t="s">
        <v>678</v>
      </c>
      <c r="D211" s="11" t="s">
        <v>104</v>
      </c>
      <c r="E211" s="48" t="s">
        <v>11</v>
      </c>
      <c r="F211" s="8">
        <v>17</v>
      </c>
      <c r="G211" s="10">
        <v>12</v>
      </c>
      <c r="H211" s="10">
        <f>SUM(F211*G211)</f>
        <v>204</v>
      </c>
    </row>
    <row r="212" spans="1:8" s="15" customFormat="1" x14ac:dyDescent="0.15">
      <c r="A212" s="7"/>
      <c r="B212" s="31"/>
      <c r="C212" s="11"/>
      <c r="D212" s="11"/>
      <c r="E212" s="48"/>
      <c r="F212" s="8"/>
      <c r="G212" s="10"/>
      <c r="H212" s="10"/>
    </row>
    <row r="213" spans="1:8" s="15" customFormat="1" ht="28" x14ac:dyDescent="0.15">
      <c r="A213" s="7">
        <v>9.3800000000000008</v>
      </c>
      <c r="B213" s="33" t="s">
        <v>743</v>
      </c>
      <c r="C213" s="11" t="s">
        <v>679</v>
      </c>
      <c r="D213" s="11" t="s">
        <v>291</v>
      </c>
      <c r="E213" s="48" t="s">
        <v>8</v>
      </c>
      <c r="F213" s="8"/>
      <c r="G213" s="10"/>
      <c r="H213" s="10">
        <v>500</v>
      </c>
    </row>
    <row r="214" spans="1:8" s="15" customFormat="1" x14ac:dyDescent="0.15">
      <c r="A214" s="7"/>
      <c r="B214" s="31"/>
      <c r="C214" s="11"/>
      <c r="D214" s="11"/>
      <c r="E214" s="8"/>
      <c r="F214" s="8"/>
      <c r="G214" s="10"/>
      <c r="H214" s="10"/>
    </row>
    <row r="215" spans="1:8" s="15" customFormat="1" ht="28" x14ac:dyDescent="0.15">
      <c r="A215" s="7">
        <v>9.39</v>
      </c>
      <c r="B215" s="44" t="s">
        <v>747</v>
      </c>
      <c r="C215" s="38" t="s">
        <v>681</v>
      </c>
      <c r="D215" s="38" t="s">
        <v>14</v>
      </c>
      <c r="E215" s="48" t="s">
        <v>76</v>
      </c>
      <c r="F215" s="34">
        <v>42</v>
      </c>
      <c r="G215" s="10">
        <v>9</v>
      </c>
      <c r="H215" s="10">
        <f>SUM(F215*G215)</f>
        <v>378</v>
      </c>
    </row>
    <row r="216" spans="1:8" s="15" customFormat="1" x14ac:dyDescent="0.15">
      <c r="A216" s="7"/>
      <c r="B216" s="8"/>
      <c r="C216" s="38"/>
      <c r="D216" s="38"/>
      <c r="E216" s="48"/>
      <c r="F216" s="34"/>
      <c r="G216" s="10"/>
      <c r="H216" s="10"/>
    </row>
    <row r="217" spans="1:8" s="15" customFormat="1" ht="28" x14ac:dyDescent="0.15">
      <c r="A217" s="7">
        <v>9.4</v>
      </c>
      <c r="B217" s="33" t="s">
        <v>743</v>
      </c>
      <c r="C217" s="38" t="s">
        <v>682</v>
      </c>
      <c r="D217" s="38" t="s">
        <v>293</v>
      </c>
      <c r="E217" s="48" t="s">
        <v>8</v>
      </c>
      <c r="F217" s="34"/>
      <c r="G217" s="10"/>
      <c r="H217" s="10">
        <v>150</v>
      </c>
    </row>
    <row r="218" spans="1:8" s="15" customFormat="1" x14ac:dyDescent="0.15">
      <c r="A218" s="7"/>
      <c r="B218" s="31"/>
      <c r="C218" s="38"/>
      <c r="D218" s="38"/>
      <c r="E218" s="48"/>
      <c r="F218" s="34"/>
      <c r="G218" s="10"/>
      <c r="H218" s="10"/>
    </row>
    <row r="219" spans="1:8" s="15" customFormat="1" ht="28" x14ac:dyDescent="0.15">
      <c r="A219" s="7">
        <v>9.41</v>
      </c>
      <c r="B219" s="44" t="s">
        <v>747</v>
      </c>
      <c r="C219" s="38" t="s">
        <v>264</v>
      </c>
      <c r="D219" s="38" t="s">
        <v>732</v>
      </c>
      <c r="E219" s="48" t="s">
        <v>76</v>
      </c>
      <c r="F219" s="48">
        <v>11</v>
      </c>
      <c r="G219" s="10">
        <v>9</v>
      </c>
      <c r="H219" s="10">
        <f>SUM(F219*G219)</f>
        <v>99</v>
      </c>
    </row>
    <row r="220" spans="1:8" s="15" customFormat="1" x14ac:dyDescent="0.15">
      <c r="A220" s="7"/>
      <c r="B220" s="31"/>
      <c r="C220" s="38"/>
      <c r="D220" s="38"/>
      <c r="E220" s="8"/>
      <c r="F220" s="34"/>
      <c r="G220" s="10"/>
      <c r="H220" s="10"/>
    </row>
    <row r="221" spans="1:8" s="15" customFormat="1" ht="28" x14ac:dyDescent="0.15">
      <c r="A221" s="7">
        <v>9.42</v>
      </c>
      <c r="B221" s="44" t="s">
        <v>747</v>
      </c>
      <c r="C221" s="11" t="s">
        <v>78</v>
      </c>
      <c r="D221" s="11" t="s">
        <v>789</v>
      </c>
      <c r="E221" s="48" t="s">
        <v>11</v>
      </c>
      <c r="F221" s="8">
        <v>16</v>
      </c>
      <c r="G221" s="10">
        <v>7</v>
      </c>
      <c r="H221" s="10">
        <f>SUM(F221*G221)</f>
        <v>112</v>
      </c>
    </row>
    <row r="222" spans="1:8" s="15" customFormat="1" x14ac:dyDescent="0.15">
      <c r="A222" s="7"/>
      <c r="B222" s="8"/>
      <c r="C222" s="11"/>
      <c r="D222" s="11"/>
      <c r="E222" s="8"/>
      <c r="F222" s="8"/>
      <c r="G222" s="10"/>
      <c r="H222" s="10"/>
    </row>
    <row r="223" spans="1:8" s="15" customFormat="1" ht="28" x14ac:dyDescent="0.15">
      <c r="A223" s="7">
        <v>9.43</v>
      </c>
      <c r="B223" s="33" t="s">
        <v>743</v>
      </c>
      <c r="C223" s="11" t="s">
        <v>295</v>
      </c>
      <c r="D223" s="11" t="s">
        <v>248</v>
      </c>
      <c r="E223" s="48" t="s">
        <v>76</v>
      </c>
      <c r="F223" s="8">
        <v>17</v>
      </c>
      <c r="G223" s="10">
        <v>48</v>
      </c>
      <c r="H223" s="10">
        <f>SUM(F223*G223)</f>
        <v>816</v>
      </c>
    </row>
    <row r="224" spans="1:8" s="15" customFormat="1" x14ac:dyDescent="0.15">
      <c r="A224" s="7"/>
      <c r="B224" s="31"/>
      <c r="C224" s="11"/>
      <c r="D224" s="11"/>
      <c r="E224" s="8"/>
      <c r="F224" s="8"/>
      <c r="G224" s="10"/>
      <c r="H224" s="10"/>
    </row>
    <row r="225" spans="1:8" s="15" customFormat="1" ht="28" x14ac:dyDescent="0.15">
      <c r="A225" s="7">
        <v>9.44</v>
      </c>
      <c r="B225" s="33" t="s">
        <v>745</v>
      </c>
      <c r="C225" s="38" t="s">
        <v>109</v>
      </c>
      <c r="D225" s="38" t="s">
        <v>110</v>
      </c>
      <c r="E225" s="8" t="s">
        <v>8</v>
      </c>
      <c r="F225" s="8"/>
      <c r="G225" s="10"/>
      <c r="H225" s="10" t="s">
        <v>26</v>
      </c>
    </row>
    <row r="226" spans="1:8" s="15" customFormat="1" x14ac:dyDescent="0.15">
      <c r="A226" s="7"/>
      <c r="B226" s="31"/>
      <c r="C226" s="14"/>
      <c r="D226" s="11"/>
      <c r="E226" s="8"/>
      <c r="F226" s="8"/>
      <c r="G226" s="10"/>
      <c r="H226" s="10"/>
    </row>
    <row r="227" spans="1:8" s="15" customFormat="1" ht="14" x14ac:dyDescent="0.15">
      <c r="A227" s="7">
        <v>9.4499999999999993</v>
      </c>
      <c r="B227" s="33" t="s">
        <v>743</v>
      </c>
      <c r="C227" s="5" t="s">
        <v>17</v>
      </c>
      <c r="D227" s="5" t="s">
        <v>547</v>
      </c>
      <c r="E227" s="8" t="s">
        <v>10</v>
      </c>
      <c r="F227" s="8">
        <v>2</v>
      </c>
      <c r="G227" s="10">
        <v>10</v>
      </c>
      <c r="H227" s="10">
        <f>SUM(F227*G227)</f>
        <v>20</v>
      </c>
    </row>
    <row r="228" spans="1:8" s="15" customFormat="1" x14ac:dyDescent="0.15">
      <c r="A228" s="7"/>
      <c r="B228" s="31"/>
      <c r="C228" s="11"/>
      <c r="D228" s="11"/>
      <c r="E228" s="8"/>
      <c r="F228" s="8"/>
      <c r="G228" s="10"/>
      <c r="H228" s="10"/>
    </row>
    <row r="229" spans="1:8" s="15" customFormat="1" ht="28" x14ac:dyDescent="0.15">
      <c r="A229" s="7">
        <v>9.4600000000000009</v>
      </c>
      <c r="B229" s="44" t="s">
        <v>747</v>
      </c>
      <c r="C229" s="11" t="s">
        <v>686</v>
      </c>
      <c r="D229" s="11" t="s">
        <v>568</v>
      </c>
      <c r="E229" s="8" t="s">
        <v>10</v>
      </c>
      <c r="F229" s="8">
        <v>2</v>
      </c>
      <c r="G229" s="10">
        <v>75</v>
      </c>
      <c r="H229" s="10">
        <f>SUM(F229*G229)</f>
        <v>150</v>
      </c>
    </row>
    <row r="230" spans="1:8" s="15" customFormat="1" x14ac:dyDescent="0.15">
      <c r="A230" s="7"/>
      <c r="B230" s="31"/>
      <c r="C230" s="11"/>
      <c r="D230" s="11"/>
      <c r="E230" s="8"/>
      <c r="F230" s="8"/>
      <c r="G230" s="10"/>
      <c r="H230" s="10"/>
    </row>
    <row r="231" spans="1:8" s="15" customFormat="1" ht="28" x14ac:dyDescent="0.15">
      <c r="A231" s="7">
        <v>9.4700000000000006</v>
      </c>
      <c r="B231" s="44" t="s">
        <v>747</v>
      </c>
      <c r="C231" s="11" t="s">
        <v>685</v>
      </c>
      <c r="D231" s="11" t="s">
        <v>737</v>
      </c>
      <c r="E231" s="8" t="s">
        <v>8</v>
      </c>
      <c r="F231" s="8"/>
      <c r="G231" s="10"/>
      <c r="H231" s="10">
        <v>150</v>
      </c>
    </row>
    <row r="232" spans="1:8" s="15" customFormat="1" x14ac:dyDescent="0.15">
      <c r="A232" s="7"/>
      <c r="B232" s="31"/>
      <c r="C232" s="11"/>
      <c r="D232" s="11"/>
      <c r="E232" s="8"/>
      <c r="F232" s="8"/>
      <c r="G232" s="10"/>
      <c r="H232" s="10"/>
    </row>
    <row r="233" spans="1:8" s="15" customFormat="1" ht="14" x14ac:dyDescent="0.15">
      <c r="A233" s="7">
        <v>9.48</v>
      </c>
      <c r="B233" s="33" t="s">
        <v>743</v>
      </c>
      <c r="C233" s="11" t="s">
        <v>683</v>
      </c>
      <c r="D233" s="11" t="s">
        <v>684</v>
      </c>
      <c r="E233" s="8" t="s">
        <v>8</v>
      </c>
      <c r="F233" s="8"/>
      <c r="G233" s="10"/>
      <c r="H233" s="10">
        <v>150</v>
      </c>
    </row>
    <row r="234" spans="1:8" s="15" customFormat="1" x14ac:dyDescent="0.15">
      <c r="A234" s="7"/>
      <c r="B234" s="31"/>
      <c r="C234" s="11"/>
      <c r="D234" s="11"/>
      <c r="E234" s="8"/>
      <c r="F234" s="8"/>
      <c r="G234" s="10"/>
      <c r="H234" s="10"/>
    </row>
    <row r="235" spans="1:8" s="15" customFormat="1" ht="28" x14ac:dyDescent="0.15">
      <c r="A235" s="7">
        <v>9.49</v>
      </c>
      <c r="B235" s="33" t="s">
        <v>743</v>
      </c>
      <c r="C235" s="11" t="s">
        <v>687</v>
      </c>
      <c r="D235" s="11" t="s">
        <v>688</v>
      </c>
      <c r="E235" s="8" t="s">
        <v>30</v>
      </c>
      <c r="F235" s="8"/>
      <c r="G235" s="10"/>
      <c r="H235" s="10">
        <v>100</v>
      </c>
    </row>
    <row r="236" spans="1:8" s="15" customFormat="1" x14ac:dyDescent="0.15">
      <c r="A236" s="7"/>
      <c r="B236" s="31"/>
      <c r="C236" s="11"/>
      <c r="D236" s="11"/>
      <c r="E236" s="8"/>
      <c r="F236" s="8"/>
      <c r="G236" s="10"/>
      <c r="H236" s="10"/>
    </row>
    <row r="237" spans="1:8" s="15" customFormat="1" ht="14" x14ac:dyDescent="0.15">
      <c r="A237" s="7"/>
      <c r="B237" s="31"/>
      <c r="C237" s="14" t="s">
        <v>296</v>
      </c>
      <c r="D237" s="11"/>
      <c r="E237" s="8"/>
      <c r="F237" s="8"/>
      <c r="G237" s="10"/>
      <c r="H237" s="10"/>
    </row>
    <row r="238" spans="1:8" s="15" customFormat="1" x14ac:dyDescent="0.15">
      <c r="A238" s="7"/>
      <c r="B238" s="31"/>
      <c r="C238" s="14"/>
      <c r="D238" s="11"/>
      <c r="E238" s="8"/>
      <c r="F238" s="8"/>
      <c r="G238" s="10"/>
      <c r="H238" s="10"/>
    </row>
    <row r="239" spans="1:8" s="15" customFormat="1" ht="14" x14ac:dyDescent="0.15">
      <c r="A239" s="7">
        <v>9.5</v>
      </c>
      <c r="B239" s="31"/>
      <c r="C239" s="14" t="s">
        <v>606</v>
      </c>
      <c r="D239" s="11"/>
      <c r="E239" s="8"/>
      <c r="F239" s="8"/>
      <c r="G239" s="10"/>
      <c r="H239" s="10"/>
    </row>
    <row r="240" spans="1:8" s="15" customFormat="1" x14ac:dyDescent="0.15">
      <c r="A240" s="7"/>
      <c r="B240" s="31"/>
      <c r="C240" s="14"/>
      <c r="D240" s="11"/>
      <c r="E240" s="8"/>
      <c r="F240" s="8"/>
      <c r="G240" s="10"/>
      <c r="H240" s="10"/>
    </row>
    <row r="241" spans="1:8" s="15" customFormat="1" ht="14" x14ac:dyDescent="0.15">
      <c r="A241" s="7"/>
      <c r="B241" s="31"/>
      <c r="C241" s="14" t="s">
        <v>254</v>
      </c>
      <c r="D241" s="11"/>
      <c r="E241" s="8"/>
      <c r="F241" s="8"/>
      <c r="G241" s="10"/>
      <c r="H241" s="10"/>
    </row>
    <row r="242" spans="1:8" s="15" customFormat="1" x14ac:dyDescent="0.15">
      <c r="A242" s="7"/>
      <c r="B242" s="31"/>
      <c r="C242" s="14"/>
      <c r="D242" s="11"/>
      <c r="E242" s="8"/>
      <c r="F242" s="8"/>
      <c r="G242" s="10"/>
      <c r="H242" s="10"/>
    </row>
    <row r="243" spans="1:8" s="15" customFormat="1" ht="28" x14ac:dyDescent="0.15">
      <c r="A243" s="7">
        <v>9.51</v>
      </c>
      <c r="B243" s="44" t="s">
        <v>747</v>
      </c>
      <c r="C243" s="11" t="s">
        <v>689</v>
      </c>
      <c r="D243" s="11" t="s">
        <v>807</v>
      </c>
      <c r="E243" s="48" t="s">
        <v>76</v>
      </c>
      <c r="F243" s="8">
        <v>16</v>
      </c>
      <c r="G243" s="10">
        <v>10</v>
      </c>
      <c r="H243" s="10">
        <f>SUM(F243*G243)</f>
        <v>160</v>
      </c>
    </row>
    <row r="244" spans="1:8" s="15" customFormat="1" x14ac:dyDescent="0.15">
      <c r="A244" s="7"/>
      <c r="B244" s="31"/>
      <c r="C244" s="11"/>
      <c r="D244" s="11"/>
      <c r="E244" s="48"/>
      <c r="F244" s="8"/>
      <c r="G244" s="10"/>
      <c r="H244" s="10"/>
    </row>
    <row r="245" spans="1:8" s="15" customFormat="1" ht="28" x14ac:dyDescent="0.15">
      <c r="A245" s="7">
        <v>9.52</v>
      </c>
      <c r="B245" s="33" t="s">
        <v>743</v>
      </c>
      <c r="C245" s="11" t="s">
        <v>690</v>
      </c>
      <c r="D245" s="11" t="s">
        <v>297</v>
      </c>
      <c r="E245" s="50" t="s">
        <v>8</v>
      </c>
      <c r="F245" s="8"/>
      <c r="G245" s="10"/>
      <c r="H245" s="10">
        <v>400</v>
      </c>
    </row>
    <row r="246" spans="1:8" s="15" customFormat="1" x14ac:dyDescent="0.15">
      <c r="A246" s="7"/>
      <c r="B246" s="31"/>
      <c r="C246" s="11"/>
      <c r="D246" s="11"/>
      <c r="E246" s="8"/>
      <c r="F246" s="8"/>
      <c r="G246" s="10"/>
      <c r="H246" s="10"/>
    </row>
    <row r="247" spans="1:8" s="15" customFormat="1" ht="14" x14ac:dyDescent="0.15">
      <c r="A247" s="7">
        <v>9.5299999999999994</v>
      </c>
      <c r="B247" s="33" t="s">
        <v>743</v>
      </c>
      <c r="C247" s="38" t="s">
        <v>246</v>
      </c>
      <c r="D247" s="38" t="s">
        <v>16</v>
      </c>
      <c r="E247" s="50" t="s">
        <v>8</v>
      </c>
      <c r="F247" s="48"/>
      <c r="G247" s="10"/>
      <c r="H247" s="10">
        <v>60</v>
      </c>
    </row>
    <row r="248" spans="1:8" s="15" customFormat="1" x14ac:dyDescent="0.15">
      <c r="A248" s="7"/>
      <c r="B248" s="31"/>
      <c r="C248" s="11"/>
      <c r="D248" s="11"/>
      <c r="E248" s="8"/>
      <c r="F248" s="34"/>
      <c r="G248" s="10"/>
      <c r="H248" s="36"/>
    </row>
    <row r="249" spans="1:8" s="15" customFormat="1" ht="28" x14ac:dyDescent="0.15">
      <c r="A249" s="7">
        <v>9.5399999999999991</v>
      </c>
      <c r="B249" s="44" t="s">
        <v>747</v>
      </c>
      <c r="C249" s="11" t="s">
        <v>312</v>
      </c>
      <c r="D249" s="11" t="s">
        <v>104</v>
      </c>
      <c r="E249" s="8" t="s">
        <v>11</v>
      </c>
      <c r="F249" s="8">
        <v>16</v>
      </c>
      <c r="G249" s="10">
        <v>12</v>
      </c>
      <c r="H249" s="10">
        <f>SUM(F249*G249)</f>
        <v>192</v>
      </c>
    </row>
    <row r="250" spans="1:8" s="15" customFormat="1" x14ac:dyDescent="0.15">
      <c r="A250" s="7"/>
      <c r="B250" s="31"/>
      <c r="C250" s="11"/>
      <c r="D250" s="11"/>
      <c r="E250" s="8"/>
      <c r="F250" s="8"/>
      <c r="G250" s="10"/>
      <c r="H250" s="10"/>
    </row>
    <row r="251" spans="1:8" s="15" customFormat="1" ht="28" x14ac:dyDescent="0.15">
      <c r="A251" s="7">
        <v>9.5500000000000007</v>
      </c>
      <c r="B251" s="33" t="s">
        <v>743</v>
      </c>
      <c r="C251" s="11" t="s">
        <v>691</v>
      </c>
      <c r="D251" s="11" t="s">
        <v>298</v>
      </c>
      <c r="E251" s="8" t="s">
        <v>8</v>
      </c>
      <c r="F251" s="8"/>
      <c r="G251" s="10"/>
      <c r="H251" s="10">
        <v>400</v>
      </c>
    </row>
    <row r="252" spans="1:8" s="15" customFormat="1" x14ac:dyDescent="0.15">
      <c r="A252" s="7"/>
      <c r="B252" s="31"/>
      <c r="C252" s="11"/>
      <c r="D252" s="11"/>
      <c r="E252" s="8"/>
      <c r="F252" s="8"/>
      <c r="G252" s="10"/>
      <c r="H252" s="10"/>
    </row>
    <row r="253" spans="1:8" s="15" customFormat="1" ht="28" x14ac:dyDescent="0.15">
      <c r="A253" s="7">
        <v>9.56</v>
      </c>
      <c r="B253" s="44" t="s">
        <v>747</v>
      </c>
      <c r="C253" s="38" t="s">
        <v>692</v>
      </c>
      <c r="D253" s="38" t="s">
        <v>694</v>
      </c>
      <c r="E253" s="48" t="s">
        <v>76</v>
      </c>
      <c r="F253" s="48">
        <v>48</v>
      </c>
      <c r="G253" s="10">
        <v>9</v>
      </c>
      <c r="H253" s="10">
        <f>SUM(F253*G253)</f>
        <v>432</v>
      </c>
    </row>
    <row r="254" spans="1:8" s="15" customFormat="1" x14ac:dyDescent="0.15">
      <c r="A254" s="7"/>
      <c r="B254" s="31"/>
      <c r="C254" s="38"/>
      <c r="D254" s="38"/>
      <c r="E254" s="48"/>
      <c r="F254" s="48"/>
      <c r="G254" s="10"/>
      <c r="H254" s="10"/>
    </row>
    <row r="255" spans="1:8" s="15" customFormat="1" ht="14" x14ac:dyDescent="0.15">
      <c r="A255" s="7">
        <v>9.57</v>
      </c>
      <c r="B255" s="33" t="s">
        <v>743</v>
      </c>
      <c r="C255" s="38" t="s">
        <v>693</v>
      </c>
      <c r="D255" s="38" t="s">
        <v>695</v>
      </c>
      <c r="E255" s="50" t="s">
        <v>8</v>
      </c>
      <c r="F255" s="48"/>
      <c r="G255" s="10"/>
      <c r="H255" s="10">
        <v>300</v>
      </c>
    </row>
    <row r="256" spans="1:8" s="15" customFormat="1" x14ac:dyDescent="0.15">
      <c r="A256" s="7"/>
      <c r="B256" s="31"/>
      <c r="C256" s="38"/>
      <c r="D256" s="38"/>
      <c r="E256" s="48"/>
      <c r="F256" s="48"/>
      <c r="G256" s="10"/>
      <c r="H256" s="10"/>
    </row>
    <row r="257" spans="1:8" s="15" customFormat="1" ht="28" x14ac:dyDescent="0.15">
      <c r="A257" s="7">
        <v>9.58</v>
      </c>
      <c r="B257" s="44" t="s">
        <v>747</v>
      </c>
      <c r="C257" s="38" t="s">
        <v>264</v>
      </c>
      <c r="D257" s="38" t="s">
        <v>739</v>
      </c>
      <c r="E257" s="48" t="s">
        <v>76</v>
      </c>
      <c r="F257" s="48">
        <v>10</v>
      </c>
      <c r="G257" s="10">
        <v>30</v>
      </c>
      <c r="H257" s="10">
        <f>SUM(F257*G257)</f>
        <v>300</v>
      </c>
    </row>
    <row r="258" spans="1:8" s="15" customFormat="1" x14ac:dyDescent="0.15">
      <c r="A258" s="7"/>
      <c r="B258" s="8"/>
      <c r="C258" s="14"/>
      <c r="D258" s="11"/>
      <c r="E258" s="8"/>
      <c r="F258" s="8"/>
      <c r="G258" s="10"/>
      <c r="H258" s="10"/>
    </row>
    <row r="259" spans="1:8" s="15" customFormat="1" ht="28" x14ac:dyDescent="0.15">
      <c r="A259" s="7">
        <v>9.59</v>
      </c>
      <c r="B259" s="44" t="s">
        <v>747</v>
      </c>
      <c r="C259" s="11" t="s">
        <v>78</v>
      </c>
      <c r="D259" s="11" t="s">
        <v>789</v>
      </c>
      <c r="E259" s="8" t="s">
        <v>11</v>
      </c>
      <c r="F259" s="8">
        <v>19</v>
      </c>
      <c r="G259" s="10">
        <v>7</v>
      </c>
      <c r="H259" s="10">
        <f>SUM(F259*G259)</f>
        <v>133</v>
      </c>
    </row>
    <row r="260" spans="1:8" s="15" customFormat="1" x14ac:dyDescent="0.15">
      <c r="A260" s="7"/>
      <c r="B260" s="31"/>
      <c r="C260" s="11"/>
      <c r="D260" s="11"/>
      <c r="E260" s="8"/>
      <c r="F260" s="8"/>
      <c r="G260" s="10"/>
      <c r="H260" s="10"/>
    </row>
    <row r="261" spans="1:8" s="15" customFormat="1" ht="14" x14ac:dyDescent="0.15">
      <c r="A261" s="7">
        <v>9.6</v>
      </c>
      <c r="B261" s="33" t="s">
        <v>743</v>
      </c>
      <c r="C261" s="11" t="s">
        <v>247</v>
      </c>
      <c r="D261" s="11" t="s">
        <v>248</v>
      </c>
      <c r="E261" s="48" t="s">
        <v>76</v>
      </c>
      <c r="F261" s="8">
        <v>16</v>
      </c>
      <c r="G261" s="10">
        <v>48</v>
      </c>
      <c r="H261" s="10">
        <f>SUM(F261*G261)</f>
        <v>768</v>
      </c>
    </row>
    <row r="262" spans="1:8" s="15" customFormat="1" x14ac:dyDescent="0.15">
      <c r="A262" s="7"/>
      <c r="B262" s="8"/>
      <c r="C262" s="11"/>
      <c r="D262" s="11"/>
      <c r="E262" s="8"/>
      <c r="F262" s="8"/>
      <c r="G262" s="10"/>
      <c r="H262" s="10"/>
    </row>
    <row r="263" spans="1:8" s="15" customFormat="1" ht="28" x14ac:dyDescent="0.15">
      <c r="A263" s="7">
        <v>9.61</v>
      </c>
      <c r="B263" s="33" t="s">
        <v>745</v>
      </c>
      <c r="C263" s="38" t="s">
        <v>109</v>
      </c>
      <c r="D263" s="38" t="s">
        <v>110</v>
      </c>
      <c r="E263" s="48" t="s">
        <v>8</v>
      </c>
      <c r="F263" s="8"/>
      <c r="G263" s="10"/>
      <c r="H263" s="10" t="s">
        <v>808</v>
      </c>
    </row>
    <row r="264" spans="1:8" s="15" customFormat="1" x14ac:dyDescent="0.15">
      <c r="A264" s="7"/>
      <c r="B264" s="31"/>
      <c r="C264" s="14"/>
      <c r="D264" s="11"/>
      <c r="E264" s="8"/>
      <c r="F264" s="8"/>
      <c r="G264" s="10"/>
      <c r="H264" s="10"/>
    </row>
    <row r="265" spans="1:8" s="15" customFormat="1" ht="14" x14ac:dyDescent="0.15">
      <c r="A265" s="7">
        <v>9.6199999999999992</v>
      </c>
      <c r="B265" s="33" t="s">
        <v>743</v>
      </c>
      <c r="C265" s="5" t="s">
        <v>17</v>
      </c>
      <c r="D265" s="5" t="s">
        <v>630</v>
      </c>
      <c r="E265" s="8" t="s">
        <v>10</v>
      </c>
      <c r="F265" s="9">
        <v>4</v>
      </c>
      <c r="G265" s="10">
        <v>10</v>
      </c>
      <c r="H265" s="10">
        <f>SUM(F265*G265)</f>
        <v>40</v>
      </c>
    </row>
    <row r="266" spans="1:8" s="15" customFormat="1" x14ac:dyDescent="0.15">
      <c r="A266" s="7"/>
      <c r="B266" s="31"/>
      <c r="C266" s="11"/>
      <c r="D266" s="11"/>
      <c r="E266" s="8"/>
      <c r="F266" s="8"/>
      <c r="G266" s="10"/>
      <c r="H266" s="10"/>
    </row>
    <row r="267" spans="1:8" s="15" customFormat="1" ht="28" x14ac:dyDescent="0.15">
      <c r="A267" s="7">
        <v>9.6300000000000008</v>
      </c>
      <c r="B267" s="44" t="s">
        <v>747</v>
      </c>
      <c r="C267" s="11" t="s">
        <v>696</v>
      </c>
      <c r="D267" s="11" t="s">
        <v>568</v>
      </c>
      <c r="E267" s="8" t="s">
        <v>10</v>
      </c>
      <c r="F267" s="8">
        <v>2</v>
      </c>
      <c r="G267" s="10">
        <v>75</v>
      </c>
      <c r="H267" s="10">
        <f>SUM(F267*G267)</f>
        <v>150</v>
      </c>
    </row>
    <row r="268" spans="1:8" s="15" customFormat="1" x14ac:dyDescent="0.15">
      <c r="A268" s="7"/>
      <c r="B268" s="31"/>
      <c r="C268" s="11"/>
      <c r="D268" s="11"/>
      <c r="E268" s="8"/>
      <c r="F268" s="8"/>
      <c r="G268" s="10"/>
      <c r="H268" s="10"/>
    </row>
    <row r="269" spans="1:8" s="15" customFormat="1" ht="42" x14ac:dyDescent="0.15">
      <c r="A269" s="7">
        <v>9.64</v>
      </c>
      <c r="B269" s="33" t="s">
        <v>745</v>
      </c>
      <c r="C269" s="11" t="s">
        <v>300</v>
      </c>
      <c r="D269" s="11" t="s">
        <v>308</v>
      </c>
      <c r="E269" s="48" t="s">
        <v>8</v>
      </c>
      <c r="F269" s="8"/>
      <c r="G269" s="10"/>
      <c r="H269" s="10">
        <v>1000</v>
      </c>
    </row>
    <row r="270" spans="1:8" s="15" customFormat="1" x14ac:dyDescent="0.15">
      <c r="A270" s="7"/>
      <c r="B270" s="31"/>
      <c r="C270" s="11"/>
      <c r="D270" s="11"/>
      <c r="E270" s="8"/>
      <c r="F270" s="8"/>
      <c r="G270" s="10"/>
      <c r="H270" s="10"/>
    </row>
    <row r="271" spans="1:8" s="15" customFormat="1" ht="28" x14ac:dyDescent="0.15">
      <c r="A271" s="7">
        <v>9.65</v>
      </c>
      <c r="B271" s="33" t="s">
        <v>745</v>
      </c>
      <c r="C271" s="11" t="s">
        <v>301</v>
      </c>
      <c r="D271" s="11" t="s">
        <v>302</v>
      </c>
      <c r="E271" s="8" t="s">
        <v>8</v>
      </c>
      <c r="F271" s="8"/>
      <c r="G271" s="10"/>
      <c r="H271" s="10">
        <v>500</v>
      </c>
    </row>
    <row r="272" spans="1:8" s="15" customFormat="1" x14ac:dyDescent="0.15">
      <c r="A272" s="7"/>
      <c r="B272" s="31"/>
      <c r="C272" s="11"/>
      <c r="D272" s="11"/>
      <c r="E272" s="8"/>
      <c r="F272" s="8"/>
      <c r="G272" s="10"/>
      <c r="H272" s="10"/>
    </row>
    <row r="273" spans="1:8" s="15" customFormat="1" ht="28" x14ac:dyDescent="0.15">
      <c r="A273" s="7">
        <v>9.66</v>
      </c>
      <c r="B273" s="33" t="s">
        <v>745</v>
      </c>
      <c r="C273" s="11" t="s">
        <v>303</v>
      </c>
      <c r="D273" s="11" t="s">
        <v>304</v>
      </c>
      <c r="E273" s="48" t="s">
        <v>8</v>
      </c>
      <c r="F273" s="8"/>
      <c r="G273" s="10"/>
      <c r="H273" s="10">
        <v>400</v>
      </c>
    </row>
    <row r="274" spans="1:8" s="15" customFormat="1" x14ac:dyDescent="0.15">
      <c r="A274" s="7"/>
      <c r="B274" s="8"/>
      <c r="C274" s="11"/>
      <c r="D274" s="11"/>
      <c r="E274" s="8"/>
      <c r="F274" s="8"/>
      <c r="G274" s="10"/>
      <c r="H274" s="10"/>
    </row>
    <row r="275" spans="1:8" s="15" customFormat="1" ht="28" x14ac:dyDescent="0.15">
      <c r="A275" s="7">
        <v>9.67</v>
      </c>
      <c r="B275" s="33" t="s">
        <v>745</v>
      </c>
      <c r="C275" s="11" t="s">
        <v>697</v>
      </c>
      <c r="D275" s="11" t="s">
        <v>698</v>
      </c>
      <c r="E275" s="8" t="s">
        <v>8</v>
      </c>
      <c r="F275" s="8"/>
      <c r="G275" s="10"/>
      <c r="H275" s="10">
        <v>300</v>
      </c>
    </row>
    <row r="276" spans="1:8" s="15" customFormat="1" x14ac:dyDescent="0.15">
      <c r="A276" s="7"/>
      <c r="B276" s="8"/>
      <c r="C276" s="11"/>
      <c r="D276" s="11"/>
      <c r="E276" s="8"/>
      <c r="F276" s="8"/>
      <c r="G276" s="10"/>
      <c r="H276" s="10"/>
    </row>
    <row r="277" spans="1:8" s="15" customFormat="1" ht="28" x14ac:dyDescent="0.15">
      <c r="A277" s="7">
        <v>9.68</v>
      </c>
      <c r="B277" s="33" t="s">
        <v>745</v>
      </c>
      <c r="C277" s="11" t="s">
        <v>306</v>
      </c>
      <c r="D277" s="11" t="s">
        <v>305</v>
      </c>
      <c r="E277" s="8" t="s">
        <v>11</v>
      </c>
      <c r="F277" s="34">
        <v>9</v>
      </c>
      <c r="G277" s="10">
        <v>150</v>
      </c>
      <c r="H277" s="10">
        <f>SUM(F277*G277)</f>
        <v>1350</v>
      </c>
    </row>
    <row r="278" spans="1:8" s="15" customFormat="1" x14ac:dyDescent="0.15">
      <c r="A278" s="7"/>
      <c r="B278" s="8"/>
      <c r="C278" s="11"/>
      <c r="D278" s="11"/>
      <c r="E278" s="8"/>
      <c r="F278" s="34"/>
      <c r="G278" s="10"/>
      <c r="H278" s="10"/>
    </row>
    <row r="279" spans="1:8" s="15" customFormat="1" ht="42" x14ac:dyDescent="0.15">
      <c r="A279" s="7">
        <v>9.69</v>
      </c>
      <c r="B279" s="8" t="s">
        <v>747</v>
      </c>
      <c r="C279" s="11" t="s">
        <v>307</v>
      </c>
      <c r="D279" s="11" t="s">
        <v>740</v>
      </c>
      <c r="E279" s="8" t="s">
        <v>11</v>
      </c>
      <c r="F279" s="34">
        <v>9</v>
      </c>
      <c r="G279" s="10">
        <v>40</v>
      </c>
      <c r="H279" s="10">
        <f>SUM(F279*G279)</f>
        <v>360</v>
      </c>
    </row>
    <row r="280" spans="1:8" s="15" customFormat="1" x14ac:dyDescent="0.15">
      <c r="A280" s="7"/>
      <c r="B280" s="8"/>
      <c r="C280" s="11"/>
      <c r="D280" s="11"/>
      <c r="E280" s="8"/>
      <c r="F280" s="34"/>
      <c r="G280" s="10"/>
      <c r="H280" s="10"/>
    </row>
    <row r="281" spans="1:8" s="15" customFormat="1" ht="14" x14ac:dyDescent="0.15">
      <c r="A281" s="7"/>
      <c r="B281" s="8"/>
      <c r="C281" s="14" t="s">
        <v>255</v>
      </c>
      <c r="D281" s="11"/>
      <c r="E281" s="8"/>
      <c r="F281" s="34"/>
      <c r="G281" s="10"/>
      <c r="H281" s="10"/>
    </row>
    <row r="282" spans="1:8" s="15" customFormat="1" x14ac:dyDescent="0.15">
      <c r="A282" s="7"/>
      <c r="B282" s="8"/>
      <c r="C282" s="11"/>
      <c r="D282" s="11"/>
      <c r="E282" s="8"/>
      <c r="F282" s="34"/>
      <c r="G282" s="10"/>
      <c r="H282" s="10"/>
    </row>
    <row r="283" spans="1:8" s="15" customFormat="1" ht="28" x14ac:dyDescent="0.15">
      <c r="A283" s="7">
        <v>9.6999999999999993</v>
      </c>
      <c r="B283" s="8" t="s">
        <v>747</v>
      </c>
      <c r="C283" s="11" t="s">
        <v>699</v>
      </c>
      <c r="D283" s="11" t="s">
        <v>738</v>
      </c>
      <c r="E283" s="48" t="s">
        <v>76</v>
      </c>
      <c r="F283" s="8">
        <v>6</v>
      </c>
      <c r="G283" s="10">
        <v>8</v>
      </c>
      <c r="H283" s="10">
        <f>SUM(F283*G283)</f>
        <v>48</v>
      </c>
    </row>
    <row r="284" spans="1:8" s="15" customFormat="1" x14ac:dyDescent="0.15">
      <c r="A284" s="7"/>
      <c r="B284" s="8"/>
      <c r="C284" s="11"/>
      <c r="D284" s="11"/>
      <c r="E284" s="48"/>
      <c r="F284" s="8"/>
      <c r="G284" s="10"/>
      <c r="H284" s="10"/>
    </row>
    <row r="285" spans="1:8" s="15" customFormat="1" ht="14" x14ac:dyDescent="0.15">
      <c r="A285" s="7">
        <v>9.7100000000000009</v>
      </c>
      <c r="B285" s="33" t="s">
        <v>743</v>
      </c>
      <c r="C285" s="11" t="s">
        <v>277</v>
      </c>
      <c r="D285" s="11" t="s">
        <v>98</v>
      </c>
      <c r="E285" s="50" t="s">
        <v>8</v>
      </c>
      <c r="F285" s="8"/>
      <c r="G285" s="10"/>
      <c r="H285" s="10">
        <v>20</v>
      </c>
    </row>
    <row r="286" spans="1:8" s="15" customFormat="1" x14ac:dyDescent="0.15">
      <c r="A286" s="7"/>
      <c r="B286" s="8"/>
      <c r="C286" s="11"/>
      <c r="D286" s="11"/>
      <c r="E286" s="50"/>
      <c r="F286" s="8"/>
      <c r="G286" s="10"/>
      <c r="H286" s="10"/>
    </row>
    <row r="287" spans="1:8" s="15" customFormat="1" ht="14" x14ac:dyDescent="0.15">
      <c r="A287" s="7">
        <v>9.7200000000000006</v>
      </c>
      <c r="B287" s="33" t="s">
        <v>743</v>
      </c>
      <c r="C287" s="11" t="s">
        <v>700</v>
      </c>
      <c r="D287" s="11" t="s">
        <v>87</v>
      </c>
      <c r="E287" s="50" t="s">
        <v>8</v>
      </c>
      <c r="F287" s="8"/>
      <c r="G287" s="10"/>
      <c r="H287" s="10">
        <v>80</v>
      </c>
    </row>
    <row r="288" spans="1:8" s="15" customFormat="1" x14ac:dyDescent="0.15">
      <c r="A288" s="7"/>
      <c r="B288" s="8"/>
      <c r="C288" s="11"/>
      <c r="D288" s="11"/>
      <c r="E288" s="8"/>
      <c r="F288" s="34"/>
      <c r="G288" s="10"/>
      <c r="H288" s="10"/>
    </row>
    <row r="289" spans="1:8" s="15" customFormat="1" ht="42" x14ac:dyDescent="0.15">
      <c r="A289" s="7">
        <v>9.73</v>
      </c>
      <c r="B289" s="8" t="s">
        <v>747</v>
      </c>
      <c r="C289" s="38" t="s">
        <v>701</v>
      </c>
      <c r="D289" s="38" t="s">
        <v>299</v>
      </c>
      <c r="E289" s="48" t="s">
        <v>76</v>
      </c>
      <c r="F289" s="48">
        <v>25</v>
      </c>
      <c r="G289" s="10">
        <v>7</v>
      </c>
      <c r="H289" s="10">
        <f>SUM(F289*G289)</f>
        <v>175</v>
      </c>
    </row>
    <row r="290" spans="1:8" s="15" customFormat="1" x14ac:dyDescent="0.15">
      <c r="A290" s="7"/>
      <c r="B290" s="8"/>
      <c r="C290" s="11"/>
      <c r="D290" s="11"/>
      <c r="E290" s="8"/>
      <c r="F290" s="34"/>
      <c r="G290" s="10"/>
      <c r="H290" s="10"/>
    </row>
    <row r="291" spans="1:8" s="15" customFormat="1" ht="28" x14ac:dyDescent="0.15">
      <c r="A291" s="7">
        <v>9.74</v>
      </c>
      <c r="B291" s="8" t="s">
        <v>747</v>
      </c>
      <c r="C291" s="11" t="s">
        <v>78</v>
      </c>
      <c r="D291" s="11" t="s">
        <v>789</v>
      </c>
      <c r="E291" s="8" t="s">
        <v>11</v>
      </c>
      <c r="F291" s="8">
        <v>9</v>
      </c>
      <c r="G291" s="10">
        <v>5</v>
      </c>
      <c r="H291" s="10">
        <f>SUM(F291*G291)</f>
        <v>45</v>
      </c>
    </row>
    <row r="292" spans="1:8" s="15" customFormat="1" x14ac:dyDescent="0.15">
      <c r="A292" s="7"/>
      <c r="B292" s="8"/>
      <c r="C292" s="11"/>
      <c r="D292" s="11"/>
      <c r="E292" s="8"/>
      <c r="F292" s="34"/>
      <c r="G292" s="10"/>
      <c r="H292" s="10"/>
    </row>
    <row r="293" spans="1:8" s="15" customFormat="1" ht="14" x14ac:dyDescent="0.15">
      <c r="A293" s="7">
        <v>9.75</v>
      </c>
      <c r="B293" s="33" t="s">
        <v>743</v>
      </c>
      <c r="C293" s="11" t="s">
        <v>247</v>
      </c>
      <c r="D293" s="11" t="s">
        <v>248</v>
      </c>
      <c r="E293" s="48" t="s">
        <v>76</v>
      </c>
      <c r="F293" s="8">
        <v>6</v>
      </c>
      <c r="G293" s="10">
        <v>48</v>
      </c>
      <c r="H293" s="10">
        <f>SUM(F293*G293)</f>
        <v>288</v>
      </c>
    </row>
    <row r="294" spans="1:8" s="15" customFormat="1" x14ac:dyDescent="0.15">
      <c r="A294" s="7"/>
      <c r="B294" s="8"/>
      <c r="C294" s="11"/>
      <c r="D294" s="11"/>
      <c r="E294" s="8"/>
      <c r="F294" s="34"/>
      <c r="G294" s="10"/>
      <c r="H294" s="10"/>
    </row>
    <row r="295" spans="1:8" s="15" customFormat="1" ht="28" x14ac:dyDescent="0.15">
      <c r="A295" s="7">
        <v>9.76</v>
      </c>
      <c r="B295" s="33" t="s">
        <v>745</v>
      </c>
      <c r="C295" s="11" t="s">
        <v>309</v>
      </c>
      <c r="D295" s="11" t="s">
        <v>138</v>
      </c>
      <c r="E295" s="8" t="s">
        <v>8</v>
      </c>
      <c r="F295" s="34"/>
      <c r="G295" s="10"/>
      <c r="H295" s="10">
        <v>50</v>
      </c>
    </row>
    <row r="296" spans="1:8" s="15" customFormat="1" x14ac:dyDescent="0.15">
      <c r="A296" s="7"/>
      <c r="B296" s="31"/>
      <c r="C296" s="11"/>
      <c r="D296" s="11"/>
      <c r="E296" s="8"/>
      <c r="F296" s="34"/>
      <c r="G296" s="10"/>
      <c r="H296" s="10"/>
    </row>
    <row r="297" spans="1:8" s="15" customFormat="1" ht="28" x14ac:dyDescent="0.15">
      <c r="A297" s="7">
        <v>9.77</v>
      </c>
      <c r="B297" s="33" t="s">
        <v>745</v>
      </c>
      <c r="C297" s="11" t="s">
        <v>310</v>
      </c>
      <c r="D297" s="11" t="s">
        <v>311</v>
      </c>
      <c r="E297" s="8" t="s">
        <v>8</v>
      </c>
      <c r="F297" s="34"/>
      <c r="G297" s="10"/>
      <c r="H297" s="10">
        <v>50</v>
      </c>
    </row>
    <row r="298" spans="1:8" s="15" customFormat="1" x14ac:dyDescent="0.15">
      <c r="A298" s="7"/>
      <c r="B298" s="8"/>
      <c r="C298" s="11"/>
      <c r="D298" s="11"/>
      <c r="E298" s="8"/>
      <c r="F298" s="8"/>
      <c r="G298" s="10"/>
      <c r="H298" s="10"/>
    </row>
    <row r="299" spans="1:8" s="15" customFormat="1" ht="28" x14ac:dyDescent="0.15">
      <c r="A299" s="7">
        <v>9.7799999999999994</v>
      </c>
      <c r="B299" s="33" t="s">
        <v>743</v>
      </c>
      <c r="C299" s="11" t="s">
        <v>702</v>
      </c>
      <c r="D299" s="11" t="s">
        <v>753</v>
      </c>
      <c r="E299" s="8" t="s">
        <v>8</v>
      </c>
      <c r="F299" s="8"/>
      <c r="G299" s="10"/>
      <c r="H299" s="10">
        <v>150</v>
      </c>
    </row>
    <row r="300" spans="1:8" s="15" customFormat="1" x14ac:dyDescent="0.15">
      <c r="A300" s="7"/>
      <c r="B300" s="8"/>
      <c r="C300" s="11"/>
      <c r="D300" s="11"/>
      <c r="E300" s="8"/>
      <c r="F300" s="8"/>
      <c r="G300" s="10"/>
      <c r="H300" s="10"/>
    </row>
    <row r="301" spans="1:8" s="15" customFormat="1" ht="28" x14ac:dyDescent="0.15">
      <c r="A301" s="7">
        <v>9.7899999999999991</v>
      </c>
      <c r="B301" s="44" t="s">
        <v>747</v>
      </c>
      <c r="C301" s="11" t="s">
        <v>703</v>
      </c>
      <c r="D301" s="11" t="s">
        <v>731</v>
      </c>
      <c r="E301" s="8" t="s">
        <v>8</v>
      </c>
      <c r="F301" s="34"/>
      <c r="G301" s="10"/>
      <c r="H301" s="10">
        <v>120</v>
      </c>
    </row>
    <row r="302" spans="1:8" s="15" customFormat="1" x14ac:dyDescent="0.15">
      <c r="A302" s="7"/>
      <c r="B302" s="8"/>
      <c r="C302" s="11"/>
      <c r="D302" s="11"/>
      <c r="E302" s="8"/>
      <c r="F302" s="8"/>
      <c r="G302" s="10"/>
      <c r="H302" s="10"/>
    </row>
    <row r="303" spans="1:8" s="15" customFormat="1" ht="14" x14ac:dyDescent="0.15">
      <c r="A303" s="7"/>
      <c r="B303" s="33"/>
      <c r="C303" s="14" t="s">
        <v>257</v>
      </c>
      <c r="D303" s="11"/>
      <c r="E303" s="8"/>
      <c r="F303" s="8"/>
      <c r="G303" s="10"/>
      <c r="H303" s="10"/>
    </row>
    <row r="304" spans="1:8" s="15" customFormat="1" x14ac:dyDescent="0.15">
      <c r="A304" s="7"/>
      <c r="B304" s="33"/>
      <c r="C304" s="11"/>
      <c r="D304" s="11"/>
      <c r="E304" s="8"/>
      <c r="F304" s="8"/>
      <c r="G304" s="10"/>
      <c r="H304" s="10"/>
    </row>
    <row r="305" spans="1:8" s="15" customFormat="1" ht="28" x14ac:dyDescent="0.15">
      <c r="A305" s="7">
        <v>9.8000000000000007</v>
      </c>
      <c r="B305" s="8" t="s">
        <v>747</v>
      </c>
      <c r="C305" s="11" t="s">
        <v>704</v>
      </c>
      <c r="D305" s="11" t="s">
        <v>741</v>
      </c>
      <c r="E305" s="48" t="s">
        <v>76</v>
      </c>
      <c r="F305" s="8">
        <v>8</v>
      </c>
      <c r="G305" s="10">
        <v>9</v>
      </c>
      <c r="H305" s="10">
        <f>SUM(F305*G305)</f>
        <v>72</v>
      </c>
    </row>
    <row r="306" spans="1:8" s="15" customFormat="1" x14ac:dyDescent="0.15">
      <c r="A306" s="7"/>
      <c r="B306" s="8"/>
      <c r="C306" s="11"/>
      <c r="D306" s="11"/>
      <c r="E306" s="8"/>
      <c r="F306" s="8"/>
      <c r="G306" s="10"/>
      <c r="H306" s="10"/>
    </row>
    <row r="307" spans="1:8" s="15" customFormat="1" ht="28" x14ac:dyDescent="0.15">
      <c r="A307" s="7">
        <v>9.81</v>
      </c>
      <c r="B307" s="33" t="s">
        <v>743</v>
      </c>
      <c r="C307" s="41" t="s">
        <v>214</v>
      </c>
      <c r="D307" s="52" t="s">
        <v>19</v>
      </c>
      <c r="E307" s="48" t="s">
        <v>10</v>
      </c>
      <c r="F307" s="48">
        <v>1</v>
      </c>
      <c r="G307" s="53">
        <v>20</v>
      </c>
      <c r="H307" s="10">
        <f>SUM(F307*G307)</f>
        <v>20</v>
      </c>
    </row>
    <row r="308" spans="1:8" s="15" customFormat="1" x14ac:dyDescent="0.15">
      <c r="A308" s="7"/>
      <c r="B308" s="8"/>
      <c r="C308" s="11"/>
      <c r="D308" s="11"/>
      <c r="E308" s="8"/>
      <c r="F308" s="8"/>
      <c r="G308" s="10"/>
      <c r="H308" s="10"/>
    </row>
    <row r="309" spans="1:8" s="15" customFormat="1" ht="14" x14ac:dyDescent="0.15">
      <c r="A309" s="7">
        <v>9.82</v>
      </c>
      <c r="B309" s="44" t="s">
        <v>747</v>
      </c>
      <c r="C309" s="11" t="s">
        <v>809</v>
      </c>
      <c r="D309" s="11" t="s">
        <v>322</v>
      </c>
      <c r="E309" s="8" t="s">
        <v>11</v>
      </c>
      <c r="F309" s="8">
        <v>15</v>
      </c>
      <c r="G309" s="10">
        <v>10</v>
      </c>
      <c r="H309" s="10">
        <f>SUM(F309*G309)</f>
        <v>150</v>
      </c>
    </row>
    <row r="310" spans="1:8" s="15" customFormat="1" x14ac:dyDescent="0.15">
      <c r="A310" s="7"/>
      <c r="B310" s="33"/>
      <c r="C310" s="11"/>
      <c r="D310" s="11"/>
      <c r="E310" s="8"/>
      <c r="F310" s="8"/>
      <c r="G310" s="10"/>
      <c r="H310" s="10"/>
    </row>
    <row r="311" spans="1:8" s="15" customFormat="1" ht="42" x14ac:dyDescent="0.15">
      <c r="A311" s="7">
        <v>9.83</v>
      </c>
      <c r="B311" s="44" t="s">
        <v>747</v>
      </c>
      <c r="C311" s="38" t="s">
        <v>681</v>
      </c>
      <c r="D311" s="38" t="s">
        <v>299</v>
      </c>
      <c r="E311" s="48" t="s">
        <v>76</v>
      </c>
      <c r="F311" s="48">
        <v>40</v>
      </c>
      <c r="G311" s="10">
        <v>9</v>
      </c>
      <c r="H311" s="10">
        <f>SUM(F311*G311)</f>
        <v>360</v>
      </c>
    </row>
    <row r="312" spans="1:8" s="15" customFormat="1" x14ac:dyDescent="0.15">
      <c r="A312" s="7"/>
      <c r="B312" s="31"/>
      <c r="C312" s="11"/>
      <c r="D312" s="11"/>
      <c r="E312" s="8"/>
      <c r="F312" s="34"/>
      <c r="G312" s="10"/>
      <c r="H312" s="10"/>
    </row>
    <row r="313" spans="1:8" s="15" customFormat="1" ht="14" x14ac:dyDescent="0.15">
      <c r="A313" s="7">
        <v>9.84</v>
      </c>
      <c r="B313" s="33" t="s">
        <v>743</v>
      </c>
      <c r="C313" s="11" t="s">
        <v>294</v>
      </c>
      <c r="D313" s="11" t="s">
        <v>248</v>
      </c>
      <c r="E313" s="48" t="s">
        <v>76</v>
      </c>
      <c r="F313" s="8">
        <v>9</v>
      </c>
      <c r="G313" s="10">
        <v>48</v>
      </c>
      <c r="H313" s="10">
        <f>SUM(F313*G313)</f>
        <v>432</v>
      </c>
    </row>
    <row r="314" spans="1:8" s="15" customFormat="1" x14ac:dyDescent="0.15">
      <c r="A314" s="7"/>
      <c r="B314" s="31"/>
      <c r="C314" s="14"/>
      <c r="D314" s="11"/>
      <c r="E314" s="8"/>
      <c r="F314" s="8"/>
      <c r="G314" s="10"/>
      <c r="H314" s="10"/>
    </row>
    <row r="315" spans="1:8" s="15" customFormat="1" ht="28" x14ac:dyDescent="0.15">
      <c r="A315" s="7">
        <v>9.85</v>
      </c>
      <c r="B315" s="44" t="s">
        <v>747</v>
      </c>
      <c r="C315" s="11" t="s">
        <v>78</v>
      </c>
      <c r="D315" s="11" t="s">
        <v>789</v>
      </c>
      <c r="E315" s="8" t="s">
        <v>11</v>
      </c>
      <c r="F315" s="8">
        <v>9</v>
      </c>
      <c r="G315" s="10">
        <v>7</v>
      </c>
      <c r="H315" s="10">
        <f>SUM(F315*G315)</f>
        <v>63</v>
      </c>
    </row>
    <row r="316" spans="1:8" s="15" customFormat="1" x14ac:dyDescent="0.15">
      <c r="A316" s="7"/>
      <c r="B316" s="31"/>
      <c r="C316" s="11"/>
      <c r="D316" s="11"/>
      <c r="E316" s="8"/>
      <c r="F316" s="8"/>
      <c r="G316" s="10"/>
      <c r="H316" s="10"/>
    </row>
    <row r="317" spans="1:8" s="15" customFormat="1" ht="28" x14ac:dyDescent="0.15">
      <c r="A317" s="7">
        <v>9.86</v>
      </c>
      <c r="B317" s="33" t="s">
        <v>745</v>
      </c>
      <c r="C317" s="11" t="s">
        <v>313</v>
      </c>
      <c r="D317" s="11" t="s">
        <v>314</v>
      </c>
      <c r="E317" s="8" t="s">
        <v>8</v>
      </c>
      <c r="F317" s="8"/>
      <c r="G317" s="10"/>
      <c r="H317" s="10">
        <v>50</v>
      </c>
    </row>
    <row r="318" spans="1:8" s="15" customFormat="1" x14ac:dyDescent="0.15">
      <c r="A318" s="7"/>
      <c r="B318" s="31"/>
      <c r="C318" s="11"/>
      <c r="D318" s="11"/>
      <c r="E318" s="8"/>
      <c r="F318" s="8"/>
      <c r="G318" s="10"/>
      <c r="H318" s="10"/>
    </row>
    <row r="319" spans="1:8" s="15" customFormat="1" ht="28" x14ac:dyDescent="0.15">
      <c r="A319" s="7">
        <v>9.8699999999999992</v>
      </c>
      <c r="B319" s="44" t="s">
        <v>747</v>
      </c>
      <c r="C319" s="38" t="s">
        <v>705</v>
      </c>
      <c r="D319" s="38" t="s">
        <v>706</v>
      </c>
      <c r="E319" s="42" t="s">
        <v>11</v>
      </c>
      <c r="F319" s="42">
        <v>2</v>
      </c>
      <c r="G319" s="10">
        <v>20</v>
      </c>
      <c r="H319" s="10">
        <f>SUM(F319*G319)</f>
        <v>40</v>
      </c>
    </row>
    <row r="320" spans="1:8" s="15" customFormat="1" x14ac:dyDescent="0.15">
      <c r="A320" s="7"/>
      <c r="B320" s="31"/>
      <c r="C320" s="11"/>
      <c r="D320" s="11"/>
      <c r="E320" s="8"/>
      <c r="F320" s="8"/>
      <c r="G320" s="10"/>
      <c r="H320" s="10"/>
    </row>
    <row r="321" spans="1:8" s="15" customFormat="1" ht="28" x14ac:dyDescent="0.15">
      <c r="A321" s="7">
        <v>9.8800000000000008</v>
      </c>
      <c r="B321" s="33" t="s">
        <v>743</v>
      </c>
      <c r="C321" s="11" t="s">
        <v>810</v>
      </c>
      <c r="D321" s="11" t="s">
        <v>315</v>
      </c>
      <c r="E321" s="8" t="s">
        <v>10</v>
      </c>
      <c r="F321" s="8">
        <v>4</v>
      </c>
      <c r="G321" s="10">
        <v>40</v>
      </c>
      <c r="H321" s="10">
        <f>SUM(F321*G321)</f>
        <v>160</v>
      </c>
    </row>
    <row r="322" spans="1:8" s="15" customFormat="1" x14ac:dyDescent="0.15">
      <c r="A322" s="7"/>
      <c r="B322" s="31"/>
      <c r="C322" s="11"/>
      <c r="D322" s="11"/>
      <c r="E322" s="8"/>
      <c r="F322" s="8"/>
      <c r="G322" s="10"/>
      <c r="H322" s="10"/>
    </row>
    <row r="323" spans="1:8" s="15" customFormat="1" ht="28" x14ac:dyDescent="0.15">
      <c r="A323" s="7">
        <v>9.8800000000000008</v>
      </c>
      <c r="B323" s="33" t="s">
        <v>745</v>
      </c>
      <c r="C323" s="11" t="s">
        <v>316</v>
      </c>
      <c r="D323" s="11" t="s">
        <v>317</v>
      </c>
      <c r="E323" s="8" t="s">
        <v>8</v>
      </c>
      <c r="F323" s="8"/>
      <c r="G323" s="10"/>
      <c r="H323" s="10">
        <v>350</v>
      </c>
    </row>
    <row r="324" spans="1:8" s="15" customFormat="1" x14ac:dyDescent="0.15">
      <c r="A324" s="7"/>
      <c r="B324" s="8"/>
      <c r="C324" s="11"/>
      <c r="D324" s="11"/>
      <c r="E324" s="8"/>
      <c r="F324" s="8"/>
      <c r="G324" s="10"/>
      <c r="H324" s="10"/>
    </row>
    <row r="325" spans="1:8" s="15" customFormat="1" ht="28" x14ac:dyDescent="0.15">
      <c r="A325" s="7">
        <v>9.89</v>
      </c>
      <c r="B325" s="33" t="s">
        <v>745</v>
      </c>
      <c r="C325" s="11" t="s">
        <v>318</v>
      </c>
      <c r="D325" s="11" t="s">
        <v>319</v>
      </c>
      <c r="E325" s="8" t="s">
        <v>8</v>
      </c>
      <c r="F325" s="8"/>
      <c r="G325" s="10"/>
      <c r="H325" s="10">
        <v>20</v>
      </c>
    </row>
    <row r="326" spans="1:8" s="15" customFormat="1" x14ac:dyDescent="0.15">
      <c r="A326" s="7"/>
      <c r="B326" s="8"/>
      <c r="C326" s="11"/>
      <c r="D326" s="11"/>
      <c r="E326" s="8"/>
      <c r="F326" s="8"/>
      <c r="G326" s="10"/>
      <c r="H326" s="10"/>
    </row>
    <row r="327" spans="1:8" s="15" customFormat="1" ht="28" x14ac:dyDescent="0.15">
      <c r="A327" s="7">
        <v>9.9</v>
      </c>
      <c r="B327" s="44" t="s">
        <v>747</v>
      </c>
      <c r="C327" s="11" t="s">
        <v>92</v>
      </c>
      <c r="D327" s="11" t="s">
        <v>733</v>
      </c>
      <c r="E327" s="8" t="s">
        <v>10</v>
      </c>
      <c r="F327" s="34">
        <v>2</v>
      </c>
      <c r="G327" s="10">
        <v>120</v>
      </c>
      <c r="H327" s="10">
        <f>SUM(F327*G327)</f>
        <v>240</v>
      </c>
    </row>
    <row r="328" spans="1:8" s="15" customFormat="1" x14ac:dyDescent="0.15">
      <c r="A328" s="7"/>
      <c r="B328" s="31"/>
      <c r="C328" s="14"/>
      <c r="D328" s="11"/>
      <c r="E328" s="8"/>
      <c r="F328" s="8"/>
      <c r="G328" s="10"/>
      <c r="H328" s="10"/>
    </row>
    <row r="329" spans="1:8" s="15" customFormat="1" ht="14" x14ac:dyDescent="0.15">
      <c r="A329" s="3">
        <v>10</v>
      </c>
      <c r="B329" s="31"/>
      <c r="C329" s="14" t="s">
        <v>256</v>
      </c>
      <c r="D329" s="11"/>
      <c r="E329" s="8"/>
      <c r="F329" s="8"/>
      <c r="G329" s="10"/>
      <c r="H329" s="10"/>
    </row>
    <row r="330" spans="1:8" s="15" customFormat="1" x14ac:dyDescent="0.15">
      <c r="A330" s="7"/>
      <c r="B330" s="8"/>
      <c r="C330" s="11"/>
      <c r="D330" s="11"/>
      <c r="E330" s="8"/>
      <c r="F330" s="8"/>
      <c r="G330" s="10"/>
      <c r="H330" s="10"/>
    </row>
    <row r="331" spans="1:8" s="15" customFormat="1" ht="42" x14ac:dyDescent="0.15">
      <c r="A331" s="7">
        <v>10.01</v>
      </c>
      <c r="B331" s="44" t="s">
        <v>747</v>
      </c>
      <c r="C331" s="41" t="s">
        <v>178</v>
      </c>
      <c r="D331" s="41" t="s">
        <v>15</v>
      </c>
      <c r="E331" s="48" t="s">
        <v>76</v>
      </c>
      <c r="F331" s="48">
        <v>71</v>
      </c>
      <c r="G331" s="49">
        <v>9</v>
      </c>
      <c r="H331" s="10">
        <f>SUM(F331*G331)</f>
        <v>639</v>
      </c>
    </row>
    <row r="332" spans="1:8" s="15" customFormat="1" x14ac:dyDescent="0.15">
      <c r="A332" s="7"/>
      <c r="B332" s="31"/>
      <c r="C332" s="41"/>
      <c r="D332" s="41"/>
      <c r="E332" s="48"/>
      <c r="F332" s="48"/>
      <c r="G332" s="49"/>
      <c r="H332" s="10"/>
    </row>
    <row r="333" spans="1:8" s="15" customFormat="1" ht="14" x14ac:dyDescent="0.15">
      <c r="A333" s="7">
        <v>10.02</v>
      </c>
      <c r="B333" s="33" t="s">
        <v>743</v>
      </c>
      <c r="C333" s="38" t="s">
        <v>707</v>
      </c>
      <c r="D333" s="38" t="s">
        <v>708</v>
      </c>
      <c r="E333" s="50" t="s">
        <v>8</v>
      </c>
      <c r="F333" s="48"/>
      <c r="G333" s="49"/>
      <c r="H333" s="10" t="s">
        <v>26</v>
      </c>
    </row>
    <row r="334" spans="1:8" s="15" customFormat="1" x14ac:dyDescent="0.15">
      <c r="A334" s="7"/>
      <c r="B334" s="8"/>
      <c r="C334" s="11"/>
      <c r="D334" s="11"/>
      <c r="E334" s="8"/>
      <c r="F334" s="8"/>
      <c r="G334" s="10"/>
      <c r="H334" s="10"/>
    </row>
    <row r="335" spans="1:8" s="15" customFormat="1" ht="28" x14ac:dyDescent="0.15">
      <c r="A335" s="7">
        <v>10.029999999999999</v>
      </c>
      <c r="B335" s="33" t="s">
        <v>743</v>
      </c>
      <c r="C335" s="38" t="s">
        <v>320</v>
      </c>
      <c r="D335" s="38" t="s">
        <v>321</v>
      </c>
      <c r="E335" s="50" t="s">
        <v>10</v>
      </c>
      <c r="F335" s="48">
        <v>12</v>
      </c>
      <c r="G335" s="10">
        <v>150</v>
      </c>
      <c r="H335" s="10">
        <f>SUM(F335*G335)</f>
        <v>1800</v>
      </c>
    </row>
    <row r="336" spans="1:8" s="15" customFormat="1" x14ac:dyDescent="0.15">
      <c r="A336" s="7"/>
      <c r="B336" s="33"/>
      <c r="C336" s="38"/>
      <c r="D336" s="38"/>
      <c r="E336" s="50"/>
      <c r="F336" s="48"/>
      <c r="G336" s="10"/>
      <c r="H336" s="10"/>
    </row>
    <row r="337" spans="1:8" s="15" customFormat="1" ht="14" x14ac:dyDescent="0.15">
      <c r="A337" s="7">
        <v>10.039999999999999</v>
      </c>
      <c r="B337" s="33" t="s">
        <v>743</v>
      </c>
      <c r="C337" s="38" t="s">
        <v>325</v>
      </c>
      <c r="D337" s="38" t="s">
        <v>326</v>
      </c>
      <c r="E337" s="50" t="s">
        <v>10</v>
      </c>
      <c r="F337" s="48">
        <v>2</v>
      </c>
      <c r="G337" s="10">
        <v>80</v>
      </c>
      <c r="H337" s="10">
        <f>SUM(F337*G337)</f>
        <v>160</v>
      </c>
    </row>
    <row r="338" spans="1:8" s="15" customFormat="1" x14ac:dyDescent="0.15">
      <c r="A338" s="7"/>
      <c r="B338" s="31"/>
      <c r="C338" s="11"/>
      <c r="D338" s="11"/>
      <c r="E338" s="8"/>
      <c r="F338" s="8"/>
      <c r="G338" s="10"/>
      <c r="H338" s="10"/>
    </row>
    <row r="339" spans="1:8" s="15" customFormat="1" ht="14" x14ac:dyDescent="0.15">
      <c r="A339" s="7">
        <v>10.050000000000001</v>
      </c>
      <c r="B339" s="44" t="s">
        <v>747</v>
      </c>
      <c r="C339" s="11" t="s">
        <v>709</v>
      </c>
      <c r="D339" s="11" t="s">
        <v>322</v>
      </c>
      <c r="E339" s="8" t="s">
        <v>11</v>
      </c>
      <c r="F339" s="8">
        <v>41</v>
      </c>
      <c r="G339" s="10">
        <v>8</v>
      </c>
      <c r="H339" s="10">
        <f>SUM(F339*G339)</f>
        <v>328</v>
      </c>
    </row>
    <row r="340" spans="1:8" s="15" customFormat="1" x14ac:dyDescent="0.15">
      <c r="A340" s="7"/>
      <c r="B340" s="33"/>
      <c r="C340" s="11"/>
      <c r="D340" s="11"/>
      <c r="E340" s="8"/>
      <c r="F340" s="8"/>
      <c r="G340" s="10"/>
      <c r="H340" s="36"/>
    </row>
    <row r="341" spans="1:8" s="15" customFormat="1" ht="28" x14ac:dyDescent="0.15">
      <c r="A341" s="7">
        <v>10.06</v>
      </c>
      <c r="B341" s="8" t="s">
        <v>747</v>
      </c>
      <c r="C341" s="38" t="s">
        <v>659</v>
      </c>
      <c r="D341" s="38" t="s">
        <v>14</v>
      </c>
      <c r="E341" s="48" t="s">
        <v>76</v>
      </c>
      <c r="F341" s="48">
        <v>85</v>
      </c>
      <c r="G341" s="10">
        <v>8</v>
      </c>
      <c r="H341" s="10">
        <f>SUM(F341*G341)</f>
        <v>680</v>
      </c>
    </row>
    <row r="342" spans="1:8" s="15" customFormat="1" x14ac:dyDescent="0.15">
      <c r="A342" s="7"/>
      <c r="B342" s="31"/>
      <c r="C342" s="38"/>
      <c r="D342" s="38"/>
      <c r="E342" s="48"/>
      <c r="F342" s="48"/>
      <c r="G342" s="10"/>
      <c r="H342" s="10"/>
    </row>
    <row r="343" spans="1:8" s="15" customFormat="1" ht="28" x14ac:dyDescent="0.15">
      <c r="A343" s="7">
        <v>10.07</v>
      </c>
      <c r="B343" s="8" t="s">
        <v>747</v>
      </c>
      <c r="C343" s="11" t="s">
        <v>78</v>
      </c>
      <c r="D343" s="11" t="s">
        <v>789</v>
      </c>
      <c r="E343" s="8" t="s">
        <v>11</v>
      </c>
      <c r="F343" s="8">
        <v>33</v>
      </c>
      <c r="G343" s="10">
        <v>5</v>
      </c>
      <c r="H343" s="10">
        <f>SUM(F343*G343)</f>
        <v>165</v>
      </c>
    </row>
    <row r="344" spans="1:8" s="15" customFormat="1" x14ac:dyDescent="0.15">
      <c r="A344" s="7"/>
      <c r="B344" s="31"/>
      <c r="C344" s="11"/>
      <c r="D344" s="11"/>
      <c r="E344" s="8"/>
      <c r="F344" s="8"/>
      <c r="G344" s="10"/>
      <c r="H344" s="10"/>
    </row>
    <row r="345" spans="1:8" s="15" customFormat="1" ht="14" x14ac:dyDescent="0.15">
      <c r="A345" s="7">
        <v>10.08</v>
      </c>
      <c r="B345" s="33" t="s">
        <v>743</v>
      </c>
      <c r="C345" s="41" t="s">
        <v>53</v>
      </c>
      <c r="D345" s="41" t="s">
        <v>217</v>
      </c>
      <c r="E345" s="48" t="s">
        <v>76</v>
      </c>
      <c r="F345" s="48">
        <v>71</v>
      </c>
      <c r="G345" s="49">
        <v>48</v>
      </c>
      <c r="H345" s="10">
        <f>SUM(F345*G345)</f>
        <v>3408</v>
      </c>
    </row>
    <row r="346" spans="1:8" s="15" customFormat="1" x14ac:dyDescent="0.15">
      <c r="A346" s="7"/>
      <c r="B346" s="8"/>
      <c r="C346" s="11"/>
      <c r="D346" s="11"/>
      <c r="E346" s="8"/>
      <c r="F346" s="8"/>
      <c r="G346" s="10"/>
      <c r="H346" s="10"/>
    </row>
    <row r="347" spans="1:8" s="15" customFormat="1" ht="28" x14ac:dyDescent="0.15">
      <c r="A347" s="7">
        <v>10.09</v>
      </c>
      <c r="B347" s="33" t="s">
        <v>745</v>
      </c>
      <c r="C347" s="11" t="s">
        <v>713</v>
      </c>
      <c r="D347" s="11" t="s">
        <v>714</v>
      </c>
      <c r="E347" s="8" t="s">
        <v>8</v>
      </c>
      <c r="F347" s="8"/>
      <c r="G347" s="10"/>
      <c r="H347" s="10">
        <v>300</v>
      </c>
    </row>
    <row r="348" spans="1:8" s="15" customFormat="1" x14ac:dyDescent="0.15">
      <c r="A348" s="7"/>
      <c r="B348" s="8"/>
      <c r="C348" s="11"/>
      <c r="D348" s="11"/>
      <c r="E348" s="8"/>
      <c r="F348" s="8"/>
      <c r="G348" s="10"/>
      <c r="H348" s="10"/>
    </row>
    <row r="349" spans="1:8" s="15" customFormat="1" ht="28" x14ac:dyDescent="0.15">
      <c r="A349" s="7">
        <v>10.1</v>
      </c>
      <c r="B349" s="8" t="s">
        <v>747</v>
      </c>
      <c r="C349" s="11" t="s">
        <v>715</v>
      </c>
      <c r="D349" s="11" t="s">
        <v>716</v>
      </c>
      <c r="E349" s="8" t="s">
        <v>10</v>
      </c>
      <c r="F349" s="34">
        <v>6</v>
      </c>
      <c r="G349" s="10">
        <v>20</v>
      </c>
      <c r="H349" s="10">
        <f>SUM(F349*G349)</f>
        <v>120</v>
      </c>
    </row>
    <row r="350" spans="1:8" s="15" customFormat="1" x14ac:dyDescent="0.15">
      <c r="A350" s="7"/>
      <c r="B350" s="8"/>
      <c r="C350" s="11"/>
      <c r="D350" s="11"/>
      <c r="E350" s="8"/>
      <c r="F350" s="34"/>
      <c r="G350" s="10"/>
      <c r="H350" s="10"/>
    </row>
    <row r="351" spans="1:8" s="15" customFormat="1" ht="28" x14ac:dyDescent="0.15">
      <c r="A351" s="7">
        <v>10.11</v>
      </c>
      <c r="B351" s="44" t="s">
        <v>747</v>
      </c>
      <c r="C351" s="11" t="s">
        <v>811</v>
      </c>
      <c r="D351" s="11" t="s">
        <v>731</v>
      </c>
      <c r="E351" s="8" t="s">
        <v>10</v>
      </c>
      <c r="F351" s="34">
        <v>1</v>
      </c>
      <c r="G351" s="10">
        <v>120</v>
      </c>
      <c r="H351" s="10">
        <f>SUM(F351*G351)</f>
        <v>120</v>
      </c>
    </row>
    <row r="352" spans="1:8" s="15" customFormat="1" x14ac:dyDescent="0.15">
      <c r="A352" s="7"/>
      <c r="B352" s="33"/>
      <c r="C352" s="11"/>
      <c r="D352" s="11"/>
      <c r="E352" s="8"/>
      <c r="F352" s="34"/>
      <c r="G352" s="10"/>
      <c r="H352" s="10"/>
    </row>
    <row r="353" spans="1:8" s="15" customFormat="1" ht="28" x14ac:dyDescent="0.15">
      <c r="A353" s="7">
        <v>10.119999999999999</v>
      </c>
      <c r="B353" s="44" t="s">
        <v>747</v>
      </c>
      <c r="C353" s="11" t="s">
        <v>717</v>
      </c>
      <c r="D353" s="11" t="s">
        <v>730</v>
      </c>
      <c r="E353" s="8" t="s">
        <v>10</v>
      </c>
      <c r="F353" s="8">
        <v>3</v>
      </c>
      <c r="G353" s="10">
        <v>75</v>
      </c>
      <c r="H353" s="10">
        <f>SUM(F353*G353)</f>
        <v>225</v>
      </c>
    </row>
    <row r="354" spans="1:8" s="15" customFormat="1" x14ac:dyDescent="0.15">
      <c r="A354" s="7"/>
      <c r="B354" s="8"/>
      <c r="C354" s="11"/>
      <c r="D354" s="11"/>
      <c r="E354" s="8"/>
      <c r="F354" s="8"/>
      <c r="G354" s="10"/>
      <c r="H354" s="10"/>
    </row>
    <row r="355" spans="1:8" s="15" customFormat="1" ht="28" x14ac:dyDescent="0.15">
      <c r="A355" s="7">
        <v>10.130000000000001</v>
      </c>
      <c r="B355" s="33" t="s">
        <v>743</v>
      </c>
      <c r="C355" s="5" t="s">
        <v>17</v>
      </c>
      <c r="D355" s="5" t="s">
        <v>18</v>
      </c>
      <c r="E355" s="8" t="s">
        <v>10</v>
      </c>
      <c r="F355" s="9">
        <v>3</v>
      </c>
      <c r="G355" s="10">
        <v>10</v>
      </c>
      <c r="H355" s="10">
        <f>SUM(F355*G355)</f>
        <v>30</v>
      </c>
    </row>
    <row r="356" spans="1:8" s="15" customFormat="1" x14ac:dyDescent="0.15">
      <c r="A356" s="7"/>
      <c r="B356" s="33"/>
      <c r="C356" s="11"/>
      <c r="D356" s="11"/>
      <c r="E356" s="8"/>
      <c r="F356" s="8"/>
      <c r="G356" s="10"/>
      <c r="H356" s="10"/>
    </row>
    <row r="357" spans="1:8" s="15" customFormat="1" ht="14" x14ac:dyDescent="0.15">
      <c r="A357" s="7"/>
      <c r="B357" s="31"/>
      <c r="C357" s="14" t="s">
        <v>258</v>
      </c>
      <c r="D357" s="11"/>
      <c r="E357" s="8"/>
      <c r="F357" s="8"/>
      <c r="G357" s="10"/>
      <c r="H357" s="10"/>
    </row>
    <row r="358" spans="1:8" s="15" customFormat="1" x14ac:dyDescent="0.15">
      <c r="A358" s="7"/>
      <c r="B358" s="8"/>
      <c r="C358" s="14"/>
      <c r="D358" s="11"/>
      <c r="E358" s="8"/>
      <c r="F358" s="8"/>
      <c r="G358" s="10"/>
      <c r="H358" s="10"/>
    </row>
    <row r="359" spans="1:8" s="15" customFormat="1" ht="42" x14ac:dyDescent="0.15">
      <c r="A359" s="7">
        <v>10.14</v>
      </c>
      <c r="B359" s="44" t="s">
        <v>747</v>
      </c>
      <c r="C359" s="38" t="s">
        <v>191</v>
      </c>
      <c r="D359" s="41" t="s">
        <v>15</v>
      </c>
      <c r="E359" s="48" t="s">
        <v>76</v>
      </c>
      <c r="F359" s="48">
        <v>19</v>
      </c>
      <c r="G359" s="49">
        <v>9</v>
      </c>
      <c r="H359" s="10">
        <f>SUM(F359*G359)</f>
        <v>171</v>
      </c>
    </row>
    <row r="360" spans="1:8" s="15" customFormat="1" x14ac:dyDescent="0.15">
      <c r="A360" s="7"/>
      <c r="B360" s="8"/>
      <c r="C360" s="11"/>
      <c r="D360" s="11"/>
      <c r="E360" s="8"/>
      <c r="F360" s="8"/>
      <c r="G360" s="10"/>
      <c r="H360" s="10"/>
    </row>
    <row r="361" spans="1:8" s="15" customFormat="1" ht="28" x14ac:dyDescent="0.15">
      <c r="A361" s="7">
        <v>10.15</v>
      </c>
      <c r="B361" s="33" t="s">
        <v>743</v>
      </c>
      <c r="C361" s="41" t="s">
        <v>214</v>
      </c>
      <c r="D361" s="52" t="s">
        <v>19</v>
      </c>
      <c r="E361" s="48" t="s">
        <v>10</v>
      </c>
      <c r="F361" s="48">
        <v>2</v>
      </c>
      <c r="G361" s="53">
        <v>20</v>
      </c>
      <c r="H361" s="10">
        <f>SUM(F361*G361)</f>
        <v>40</v>
      </c>
    </row>
    <row r="362" spans="1:8" s="15" customFormat="1" x14ac:dyDescent="0.15">
      <c r="A362" s="7"/>
      <c r="B362" s="33"/>
      <c r="C362" s="11"/>
      <c r="D362" s="11"/>
      <c r="E362" s="8"/>
      <c r="F362" s="8"/>
      <c r="G362" s="10"/>
      <c r="H362" s="10"/>
    </row>
    <row r="363" spans="1:8" s="15" customFormat="1" ht="28" x14ac:dyDescent="0.15">
      <c r="A363" s="7">
        <v>10.16</v>
      </c>
      <c r="B363" s="44" t="s">
        <v>747</v>
      </c>
      <c r="C363" s="37" t="s">
        <v>710</v>
      </c>
      <c r="D363" s="37" t="s">
        <v>322</v>
      </c>
      <c r="E363" s="44" t="s">
        <v>11</v>
      </c>
      <c r="F363" s="44">
        <v>41</v>
      </c>
      <c r="G363" s="36">
        <v>7</v>
      </c>
      <c r="H363" s="36">
        <f>SUM(F363*G363)</f>
        <v>287</v>
      </c>
    </row>
    <row r="364" spans="1:8" s="15" customFormat="1" x14ac:dyDescent="0.15">
      <c r="A364" s="7"/>
      <c r="B364" s="44"/>
      <c r="C364" s="37"/>
      <c r="D364" s="37"/>
      <c r="E364" s="44"/>
      <c r="F364" s="44"/>
      <c r="G364" s="36"/>
      <c r="H364" s="36"/>
    </row>
    <row r="365" spans="1:8" s="15" customFormat="1" ht="28" x14ac:dyDescent="0.15">
      <c r="A365" s="7">
        <v>10.17</v>
      </c>
      <c r="B365" s="44" t="s">
        <v>747</v>
      </c>
      <c r="C365" s="38" t="s">
        <v>215</v>
      </c>
      <c r="D365" s="38" t="s">
        <v>102</v>
      </c>
      <c r="E365" s="48" t="s">
        <v>76</v>
      </c>
      <c r="F365" s="48">
        <v>40</v>
      </c>
      <c r="G365" s="10">
        <v>8</v>
      </c>
      <c r="H365" s="10">
        <f>SUM(F365*G365)</f>
        <v>320</v>
      </c>
    </row>
    <row r="366" spans="1:8" s="15" customFormat="1" x14ac:dyDescent="0.15">
      <c r="A366" s="7"/>
      <c r="B366" s="31"/>
      <c r="C366" s="38"/>
      <c r="D366" s="38"/>
      <c r="E366" s="48"/>
      <c r="F366" s="48"/>
      <c r="G366" s="10"/>
      <c r="H366" s="10"/>
    </row>
    <row r="367" spans="1:8" s="15" customFormat="1" ht="28" x14ac:dyDescent="0.15">
      <c r="A367" s="7">
        <v>10.18</v>
      </c>
      <c r="B367" s="44" t="s">
        <v>747</v>
      </c>
      <c r="C367" s="11" t="s">
        <v>78</v>
      </c>
      <c r="D367" s="11" t="s">
        <v>789</v>
      </c>
      <c r="E367" s="8" t="s">
        <v>11</v>
      </c>
      <c r="F367" s="8">
        <v>16</v>
      </c>
      <c r="G367" s="10">
        <v>5</v>
      </c>
      <c r="H367" s="10">
        <f>SUM(F367*G367)</f>
        <v>80</v>
      </c>
    </row>
    <row r="368" spans="1:8" s="15" customFormat="1" x14ac:dyDescent="0.15">
      <c r="A368" s="7"/>
      <c r="B368" s="31"/>
      <c r="C368" s="11"/>
      <c r="D368" s="11"/>
      <c r="E368" s="8"/>
      <c r="F368" s="8"/>
      <c r="G368" s="10"/>
      <c r="H368" s="10"/>
    </row>
    <row r="369" spans="1:8" s="15" customFormat="1" ht="14" x14ac:dyDescent="0.15">
      <c r="A369" s="7">
        <v>10.19</v>
      </c>
      <c r="B369" s="33" t="s">
        <v>743</v>
      </c>
      <c r="C369" s="41" t="s">
        <v>53</v>
      </c>
      <c r="D369" s="38" t="s">
        <v>90</v>
      </c>
      <c r="E369" s="48" t="s">
        <v>76</v>
      </c>
      <c r="F369" s="48">
        <v>19</v>
      </c>
      <c r="G369" s="49">
        <v>48</v>
      </c>
      <c r="H369" s="10">
        <f>SUM(F369*G369)</f>
        <v>912</v>
      </c>
    </row>
    <row r="370" spans="1:8" s="15" customFormat="1" x14ac:dyDescent="0.15">
      <c r="A370" s="7"/>
      <c r="B370" s="31"/>
      <c r="C370" s="41"/>
      <c r="D370" s="41"/>
      <c r="E370" s="48"/>
      <c r="F370" s="48"/>
      <c r="G370" s="49"/>
      <c r="H370" s="10"/>
    </row>
    <row r="371" spans="1:8" s="15" customFormat="1" ht="28" x14ac:dyDescent="0.15">
      <c r="A371" s="7">
        <v>10.199999999999999</v>
      </c>
      <c r="B371" s="33" t="s">
        <v>745</v>
      </c>
      <c r="C371" s="11" t="s">
        <v>323</v>
      </c>
      <c r="D371" s="11" t="s">
        <v>324</v>
      </c>
      <c r="E371" s="8" t="s">
        <v>8</v>
      </c>
      <c r="F371" s="8"/>
      <c r="G371" s="10"/>
      <c r="H371" s="10">
        <v>20</v>
      </c>
    </row>
    <row r="372" spans="1:8" s="15" customFormat="1" x14ac:dyDescent="0.15">
      <c r="A372" s="7"/>
      <c r="B372" s="31"/>
      <c r="C372" s="11"/>
      <c r="D372" s="11"/>
      <c r="E372" s="8"/>
      <c r="F372" s="8"/>
      <c r="G372" s="10"/>
      <c r="H372" s="10"/>
    </row>
    <row r="373" spans="1:8" s="15" customFormat="1" ht="28" x14ac:dyDescent="0.15">
      <c r="A373" s="7">
        <v>10.210000000000001</v>
      </c>
      <c r="B373" s="44" t="s">
        <v>747</v>
      </c>
      <c r="C373" s="11" t="s">
        <v>711</v>
      </c>
      <c r="D373" s="11" t="s">
        <v>568</v>
      </c>
      <c r="E373" s="8" t="s">
        <v>10</v>
      </c>
      <c r="F373" s="8">
        <v>1</v>
      </c>
      <c r="G373" s="10">
        <v>75</v>
      </c>
      <c r="H373" s="10">
        <f>SUM(F373*G373)</f>
        <v>75</v>
      </c>
    </row>
    <row r="374" spans="1:8" s="15" customFormat="1" x14ac:dyDescent="0.15">
      <c r="A374" s="7"/>
      <c r="B374" s="31"/>
      <c r="C374" s="11"/>
      <c r="D374" s="11"/>
      <c r="E374" s="8"/>
      <c r="F374" s="8"/>
      <c r="G374" s="10"/>
      <c r="H374" s="10"/>
    </row>
    <row r="375" spans="1:8" s="15" customFormat="1" ht="28" x14ac:dyDescent="0.15">
      <c r="A375" s="7">
        <v>10.220000000000001</v>
      </c>
      <c r="B375" s="33" t="s">
        <v>743</v>
      </c>
      <c r="C375" s="5" t="s">
        <v>17</v>
      </c>
      <c r="D375" s="5" t="s">
        <v>18</v>
      </c>
      <c r="E375" s="8" t="s">
        <v>10</v>
      </c>
      <c r="F375" s="9">
        <v>1</v>
      </c>
      <c r="G375" s="10">
        <v>10</v>
      </c>
      <c r="H375" s="10">
        <f>SUM(F375*G375)</f>
        <v>10</v>
      </c>
    </row>
    <row r="376" spans="1:8" s="15" customFormat="1" x14ac:dyDescent="0.15">
      <c r="A376" s="7"/>
      <c r="B376" s="31"/>
      <c r="C376" s="5"/>
      <c r="D376" s="5"/>
      <c r="E376" s="8"/>
      <c r="F376" s="9"/>
      <c r="G376" s="10"/>
      <c r="H376" s="10"/>
    </row>
    <row r="377" spans="1:8" s="15" customFormat="1" ht="28" x14ac:dyDescent="0.15">
      <c r="A377" s="7">
        <v>10.23</v>
      </c>
      <c r="B377" s="44" t="s">
        <v>747</v>
      </c>
      <c r="C377" s="5" t="s">
        <v>712</v>
      </c>
      <c r="D377" s="5" t="s">
        <v>742</v>
      </c>
      <c r="E377" s="8" t="s">
        <v>8</v>
      </c>
      <c r="F377" s="9"/>
      <c r="G377" s="10"/>
      <c r="H377" s="10">
        <v>20</v>
      </c>
    </row>
    <row r="378" spans="1:8" s="15" customFormat="1" x14ac:dyDescent="0.15">
      <c r="A378" s="7"/>
      <c r="C378" s="5"/>
      <c r="D378" s="5"/>
      <c r="E378" s="8"/>
      <c r="F378" s="9"/>
      <c r="G378" s="10"/>
      <c r="H378" s="10"/>
    </row>
    <row r="379" spans="1:8" s="15" customFormat="1" x14ac:dyDescent="0.15">
      <c r="A379" s="7"/>
      <c r="B379" s="31"/>
      <c r="C379" s="65" t="s">
        <v>718</v>
      </c>
      <c r="D379" s="41"/>
      <c r="E379" s="48"/>
      <c r="F379" s="48"/>
      <c r="G379" s="49"/>
      <c r="H379" s="10"/>
    </row>
    <row r="380" spans="1:8" s="15" customFormat="1" x14ac:dyDescent="0.15">
      <c r="A380" s="7"/>
      <c r="B380" s="31"/>
      <c r="C380" s="65"/>
      <c r="D380" s="41"/>
      <c r="E380" s="48"/>
      <c r="F380" s="48"/>
      <c r="G380" s="49"/>
      <c r="H380" s="10"/>
    </row>
    <row r="381" spans="1:8" s="15" customFormat="1" ht="14" x14ac:dyDescent="0.15">
      <c r="A381" s="7"/>
      <c r="C381" s="14" t="s">
        <v>259</v>
      </c>
      <c r="D381" s="11"/>
      <c r="E381" s="8"/>
      <c r="F381" s="8"/>
      <c r="G381" s="10"/>
      <c r="H381" s="10"/>
    </row>
    <row r="382" spans="1:8" s="15" customFormat="1" x14ac:dyDescent="0.15">
      <c r="A382" s="7"/>
      <c r="B382" s="31"/>
      <c r="C382" s="11"/>
      <c r="D382" s="11"/>
      <c r="E382" s="8"/>
      <c r="F382" s="8"/>
      <c r="G382" s="10"/>
      <c r="H382" s="10"/>
    </row>
    <row r="383" spans="1:8" s="15" customFormat="1" ht="42" x14ac:dyDescent="0.15">
      <c r="A383" s="7">
        <v>10.24</v>
      </c>
      <c r="B383" s="44" t="s">
        <v>747</v>
      </c>
      <c r="C383" s="38" t="s">
        <v>191</v>
      </c>
      <c r="D383" s="41" t="s">
        <v>15</v>
      </c>
      <c r="E383" s="48" t="s">
        <v>76</v>
      </c>
      <c r="F383" s="8">
        <v>15</v>
      </c>
      <c r="G383" s="49">
        <v>9</v>
      </c>
      <c r="H383" s="10">
        <f>SUM(F383*G383)</f>
        <v>135</v>
      </c>
    </row>
    <row r="384" spans="1:8" s="15" customFormat="1" x14ac:dyDescent="0.15">
      <c r="A384" s="7"/>
      <c r="B384" s="31"/>
      <c r="C384" s="11"/>
      <c r="D384" s="11"/>
      <c r="E384" s="8"/>
      <c r="F384" s="8"/>
      <c r="G384" s="10"/>
      <c r="H384" s="10"/>
    </row>
    <row r="385" spans="1:8" s="15" customFormat="1" ht="28" x14ac:dyDescent="0.15">
      <c r="A385" s="7">
        <v>10.25</v>
      </c>
      <c r="B385" s="33" t="s">
        <v>743</v>
      </c>
      <c r="C385" s="41" t="s">
        <v>214</v>
      </c>
      <c r="D385" s="52" t="s">
        <v>19</v>
      </c>
      <c r="E385" s="48" t="s">
        <v>10</v>
      </c>
      <c r="F385" s="8">
        <v>2</v>
      </c>
      <c r="G385" s="53">
        <v>20</v>
      </c>
      <c r="H385" s="10">
        <f>SUM(F385*G385)</f>
        <v>40</v>
      </c>
    </row>
    <row r="386" spans="1:8" s="15" customFormat="1" x14ac:dyDescent="0.15">
      <c r="A386" s="35"/>
      <c r="B386" s="31"/>
      <c r="C386" s="11"/>
      <c r="D386" s="11"/>
      <c r="E386" s="8"/>
      <c r="F386" s="8"/>
      <c r="G386" s="10"/>
      <c r="H386" s="10"/>
    </row>
    <row r="387" spans="1:8" s="15" customFormat="1" ht="28" x14ac:dyDescent="0.15">
      <c r="A387" s="35">
        <v>10.26</v>
      </c>
      <c r="B387" s="44" t="s">
        <v>747</v>
      </c>
      <c r="C387" s="11" t="s">
        <v>710</v>
      </c>
      <c r="D387" s="11" t="s">
        <v>322</v>
      </c>
      <c r="E387" s="8" t="s">
        <v>11</v>
      </c>
      <c r="F387" s="8">
        <v>16</v>
      </c>
      <c r="G387" s="10">
        <v>10</v>
      </c>
      <c r="H387" s="10">
        <f>SUM(F387*G387)</f>
        <v>160</v>
      </c>
    </row>
    <row r="388" spans="1:8" s="15" customFormat="1" x14ac:dyDescent="0.15">
      <c r="A388" s="35"/>
      <c r="B388" s="31"/>
      <c r="C388" s="11"/>
      <c r="D388" s="11"/>
      <c r="E388" s="8"/>
      <c r="F388" s="8"/>
      <c r="G388" s="10"/>
      <c r="H388" s="10"/>
    </row>
    <row r="389" spans="1:8" s="15" customFormat="1" ht="28" x14ac:dyDescent="0.15">
      <c r="A389" s="35">
        <v>10.27</v>
      </c>
      <c r="B389" s="44" t="s">
        <v>747</v>
      </c>
      <c r="C389" s="38" t="s">
        <v>215</v>
      </c>
      <c r="D389" s="38" t="s">
        <v>102</v>
      </c>
      <c r="E389" s="48" t="s">
        <v>76</v>
      </c>
      <c r="F389" s="34">
        <v>34</v>
      </c>
      <c r="G389" s="10">
        <v>8</v>
      </c>
      <c r="H389" s="10">
        <f>SUM(F389*G389)</f>
        <v>272</v>
      </c>
    </row>
    <row r="390" spans="1:8" s="15" customFormat="1" x14ac:dyDescent="0.15">
      <c r="A390" s="35"/>
      <c r="B390" s="31"/>
      <c r="C390" s="38"/>
      <c r="D390" s="38"/>
      <c r="E390" s="48"/>
      <c r="F390" s="34"/>
      <c r="G390" s="10"/>
      <c r="H390" s="10"/>
    </row>
    <row r="391" spans="1:8" s="15" customFormat="1" ht="28" x14ac:dyDescent="0.15">
      <c r="A391" s="35">
        <v>10.28</v>
      </c>
      <c r="B391" s="44" t="s">
        <v>747</v>
      </c>
      <c r="C391" s="11" t="s">
        <v>78</v>
      </c>
      <c r="D391" s="11" t="s">
        <v>789</v>
      </c>
      <c r="E391" s="8" t="s">
        <v>11</v>
      </c>
      <c r="F391" s="8">
        <v>15</v>
      </c>
      <c r="G391" s="10">
        <v>5</v>
      </c>
      <c r="H391" s="10">
        <f>SUM(F391*G391)</f>
        <v>75</v>
      </c>
    </row>
    <row r="392" spans="1:8" s="15" customFormat="1" x14ac:dyDescent="0.15">
      <c r="A392" s="35"/>
      <c r="B392" s="31"/>
      <c r="C392" s="11"/>
      <c r="D392" s="11"/>
      <c r="E392" s="8"/>
      <c r="F392" s="8"/>
      <c r="G392" s="10"/>
      <c r="H392" s="10"/>
    </row>
    <row r="393" spans="1:8" s="15" customFormat="1" ht="14" x14ac:dyDescent="0.15">
      <c r="A393" s="35">
        <v>10.29</v>
      </c>
      <c r="B393" s="33" t="s">
        <v>743</v>
      </c>
      <c r="C393" s="41" t="s">
        <v>53</v>
      </c>
      <c r="D393" s="41" t="s">
        <v>217</v>
      </c>
      <c r="E393" s="48" t="s">
        <v>76</v>
      </c>
      <c r="F393" s="8">
        <v>15</v>
      </c>
      <c r="G393" s="49">
        <v>48</v>
      </c>
      <c r="H393" s="10">
        <f>SUM(F393*G393)</f>
        <v>720</v>
      </c>
    </row>
    <row r="394" spans="1:8" s="15" customFormat="1" x14ac:dyDescent="0.15">
      <c r="A394" s="35"/>
      <c r="B394" s="31"/>
      <c r="C394" s="41"/>
      <c r="D394" s="41"/>
      <c r="E394" s="48"/>
      <c r="F394" s="8"/>
      <c r="G394" s="49"/>
      <c r="H394" s="10"/>
    </row>
    <row r="395" spans="1:8" s="15" customFormat="1" ht="28" x14ac:dyDescent="0.15">
      <c r="A395" s="35">
        <v>10.3</v>
      </c>
      <c r="B395" s="33" t="s">
        <v>745</v>
      </c>
      <c r="C395" s="11" t="s">
        <v>323</v>
      </c>
      <c r="D395" s="11" t="s">
        <v>324</v>
      </c>
      <c r="E395" s="8" t="s">
        <v>8</v>
      </c>
      <c r="F395" s="8"/>
      <c r="G395" s="10"/>
      <c r="H395" s="10">
        <v>20</v>
      </c>
    </row>
    <row r="396" spans="1:8" s="15" customFormat="1" x14ac:dyDescent="0.15">
      <c r="A396" s="35"/>
      <c r="B396" s="31"/>
      <c r="C396" s="11"/>
      <c r="D396" s="11"/>
      <c r="E396" s="8"/>
      <c r="F396" s="8"/>
      <c r="G396" s="10"/>
      <c r="H396" s="10"/>
    </row>
    <row r="397" spans="1:8" s="15" customFormat="1" ht="28" x14ac:dyDescent="0.15">
      <c r="A397" s="35">
        <v>10.31</v>
      </c>
      <c r="B397" s="44" t="s">
        <v>747</v>
      </c>
      <c r="C397" s="11" t="s">
        <v>711</v>
      </c>
      <c r="D397" s="11" t="s">
        <v>568</v>
      </c>
      <c r="E397" s="8" t="s">
        <v>10</v>
      </c>
      <c r="F397" s="8">
        <v>1</v>
      </c>
      <c r="G397" s="10">
        <v>25</v>
      </c>
      <c r="H397" s="10">
        <f>SUM(F397*G397)</f>
        <v>25</v>
      </c>
    </row>
    <row r="398" spans="1:8" s="15" customFormat="1" x14ac:dyDescent="0.15">
      <c r="A398" s="35"/>
      <c r="B398" s="31"/>
      <c r="C398" s="11"/>
      <c r="D398" s="11"/>
      <c r="E398" s="8"/>
      <c r="F398" s="8"/>
      <c r="G398" s="10"/>
      <c r="H398" s="10"/>
    </row>
    <row r="399" spans="1:8" s="15" customFormat="1" ht="28" x14ac:dyDescent="0.15">
      <c r="A399" s="35">
        <v>10.32</v>
      </c>
      <c r="B399" s="33" t="s">
        <v>743</v>
      </c>
      <c r="C399" s="5" t="s">
        <v>17</v>
      </c>
      <c r="D399" s="5" t="s">
        <v>18</v>
      </c>
      <c r="E399" s="8" t="s">
        <v>10</v>
      </c>
      <c r="F399" s="8">
        <v>1</v>
      </c>
      <c r="G399" s="10">
        <v>10</v>
      </c>
      <c r="H399" s="10">
        <f>SUM(F399*G399)</f>
        <v>10</v>
      </c>
    </row>
    <row r="400" spans="1:8" s="15" customFormat="1" x14ac:dyDescent="0.15">
      <c r="A400" s="35"/>
      <c r="B400" s="31"/>
      <c r="C400" s="56"/>
      <c r="D400" s="56"/>
      <c r="E400" s="8"/>
      <c r="F400" s="8"/>
      <c r="G400" s="10"/>
      <c r="H400" s="10"/>
    </row>
    <row r="401" spans="1:8" s="15" customFormat="1" ht="14" x14ac:dyDescent="0.15">
      <c r="A401" s="35"/>
      <c r="B401" s="33"/>
      <c r="C401" s="14" t="s">
        <v>260</v>
      </c>
      <c r="D401" s="11"/>
      <c r="E401" s="8"/>
      <c r="F401" s="8"/>
      <c r="G401" s="10"/>
      <c r="H401" s="10"/>
    </row>
    <row r="402" spans="1:8" s="15" customFormat="1" x14ac:dyDescent="0.15">
      <c r="A402" s="35"/>
      <c r="B402" s="31"/>
      <c r="C402" s="11"/>
      <c r="D402" s="11"/>
      <c r="E402" s="8"/>
      <c r="F402" s="8"/>
      <c r="G402" s="10"/>
      <c r="H402" s="10"/>
    </row>
    <row r="403" spans="1:8" s="15" customFormat="1" ht="42" x14ac:dyDescent="0.15">
      <c r="A403" s="35">
        <v>10.33</v>
      </c>
      <c r="B403" s="44" t="s">
        <v>747</v>
      </c>
      <c r="C403" s="38" t="s">
        <v>191</v>
      </c>
      <c r="D403" s="41" t="s">
        <v>15</v>
      </c>
      <c r="E403" s="48" t="s">
        <v>76</v>
      </c>
      <c r="F403" s="8">
        <v>15</v>
      </c>
      <c r="G403" s="49">
        <v>9</v>
      </c>
      <c r="H403" s="10">
        <f>SUM(F403*G403)</f>
        <v>135</v>
      </c>
    </row>
    <row r="404" spans="1:8" s="15" customFormat="1" x14ac:dyDescent="0.15">
      <c r="A404" s="35"/>
      <c r="B404" s="31"/>
      <c r="C404" s="11"/>
      <c r="D404" s="11"/>
      <c r="E404" s="8"/>
      <c r="F404" s="8"/>
      <c r="G404" s="10"/>
      <c r="H404" s="10"/>
    </row>
    <row r="405" spans="1:8" s="15" customFormat="1" ht="28" x14ac:dyDescent="0.15">
      <c r="A405" s="35">
        <v>10.34</v>
      </c>
      <c r="B405" s="33" t="s">
        <v>743</v>
      </c>
      <c r="C405" s="41" t="s">
        <v>214</v>
      </c>
      <c r="D405" s="52" t="s">
        <v>19</v>
      </c>
      <c r="E405" s="48" t="s">
        <v>10</v>
      </c>
      <c r="F405" s="8">
        <v>2</v>
      </c>
      <c r="G405" s="53">
        <v>20</v>
      </c>
      <c r="H405" s="10">
        <f>SUM(F405*G405)</f>
        <v>40</v>
      </c>
    </row>
    <row r="406" spans="1:8" s="15" customFormat="1" x14ac:dyDescent="0.15">
      <c r="A406" s="3"/>
      <c r="B406" s="31"/>
      <c r="C406" s="11"/>
      <c r="D406" s="11"/>
      <c r="E406" s="8"/>
      <c r="F406" s="8"/>
      <c r="G406" s="10"/>
      <c r="H406" s="10"/>
    </row>
    <row r="407" spans="1:8" s="15" customFormat="1" ht="28" x14ac:dyDescent="0.15">
      <c r="A407" s="7">
        <v>10.35</v>
      </c>
      <c r="B407" s="44" t="s">
        <v>747</v>
      </c>
      <c r="C407" s="11" t="s">
        <v>710</v>
      </c>
      <c r="D407" s="11" t="s">
        <v>322</v>
      </c>
      <c r="E407" s="8" t="s">
        <v>11</v>
      </c>
      <c r="F407" s="8">
        <v>16</v>
      </c>
      <c r="G407" s="10">
        <v>10</v>
      </c>
      <c r="H407" s="10">
        <f>SUM(F407*G407)</f>
        <v>160</v>
      </c>
    </row>
    <row r="408" spans="1:8" s="15" customFormat="1" x14ac:dyDescent="0.15">
      <c r="A408" s="7"/>
      <c r="B408" s="31"/>
      <c r="C408" s="11"/>
      <c r="D408" s="11"/>
      <c r="E408" s="8"/>
      <c r="F408" s="8"/>
      <c r="G408" s="10"/>
      <c r="H408" s="10"/>
    </row>
    <row r="409" spans="1:8" s="15" customFormat="1" ht="28" x14ac:dyDescent="0.15">
      <c r="A409" s="7">
        <v>10.36</v>
      </c>
      <c r="B409" s="44" t="s">
        <v>747</v>
      </c>
      <c r="C409" s="38" t="s">
        <v>215</v>
      </c>
      <c r="D409" s="38" t="s">
        <v>102</v>
      </c>
      <c r="E409" s="48" t="s">
        <v>76</v>
      </c>
      <c r="F409" s="34">
        <v>34</v>
      </c>
      <c r="G409" s="10">
        <v>8</v>
      </c>
      <c r="H409" s="10">
        <f>SUM(F409*G409)</f>
        <v>272</v>
      </c>
    </row>
    <row r="410" spans="1:8" s="15" customFormat="1" x14ac:dyDescent="0.15">
      <c r="A410" s="7"/>
      <c r="B410" s="31"/>
      <c r="C410" s="38"/>
      <c r="D410" s="38"/>
      <c r="E410" s="48"/>
      <c r="F410" s="34"/>
      <c r="G410" s="10"/>
      <c r="H410" s="10"/>
    </row>
    <row r="411" spans="1:8" s="15" customFormat="1" ht="28" x14ac:dyDescent="0.15">
      <c r="A411" s="7">
        <v>10.37</v>
      </c>
      <c r="B411" s="44" t="s">
        <v>747</v>
      </c>
      <c r="C411" s="11" t="s">
        <v>78</v>
      </c>
      <c r="D411" s="11" t="s">
        <v>789</v>
      </c>
      <c r="E411" s="8" t="s">
        <v>11</v>
      </c>
      <c r="F411" s="8">
        <v>15</v>
      </c>
      <c r="G411" s="10">
        <v>5</v>
      </c>
      <c r="H411" s="10">
        <f>SUM(F411*G411)</f>
        <v>75</v>
      </c>
    </row>
    <row r="412" spans="1:8" s="15" customFormat="1" x14ac:dyDescent="0.15">
      <c r="A412" s="7"/>
      <c r="B412" s="31"/>
      <c r="C412" s="11"/>
      <c r="D412" s="11"/>
      <c r="E412" s="8"/>
      <c r="F412" s="8"/>
      <c r="G412" s="10"/>
      <c r="H412" s="10"/>
    </row>
    <row r="413" spans="1:8" s="15" customFormat="1" ht="14" x14ac:dyDescent="0.15">
      <c r="A413" s="7">
        <v>10.38</v>
      </c>
      <c r="B413" s="33" t="s">
        <v>743</v>
      </c>
      <c r="C413" s="41" t="s">
        <v>53</v>
      </c>
      <c r="D413" s="41" t="s">
        <v>217</v>
      </c>
      <c r="E413" s="48" t="s">
        <v>76</v>
      </c>
      <c r="F413" s="8">
        <v>15</v>
      </c>
      <c r="G413" s="49">
        <v>48</v>
      </c>
      <c r="H413" s="10">
        <f>SUM(F413*G413)</f>
        <v>720</v>
      </c>
    </row>
    <row r="414" spans="1:8" s="15" customFormat="1" x14ac:dyDescent="0.15">
      <c r="A414" s="7"/>
      <c r="B414" s="31"/>
      <c r="C414" s="41"/>
      <c r="D414" s="41"/>
      <c r="E414" s="48"/>
      <c r="F414" s="8"/>
      <c r="G414" s="49"/>
      <c r="H414" s="10"/>
    </row>
    <row r="415" spans="1:8" s="15" customFormat="1" ht="28" x14ac:dyDescent="0.15">
      <c r="A415" s="7">
        <v>10.39</v>
      </c>
      <c r="B415" s="33" t="s">
        <v>745</v>
      </c>
      <c r="C415" s="11" t="s">
        <v>323</v>
      </c>
      <c r="D415" s="11" t="s">
        <v>324</v>
      </c>
      <c r="E415" s="8" t="s">
        <v>8</v>
      </c>
      <c r="F415" s="8"/>
      <c r="G415" s="10"/>
      <c r="H415" s="10">
        <v>20</v>
      </c>
    </row>
    <row r="416" spans="1:8" s="15" customFormat="1" x14ac:dyDescent="0.15">
      <c r="A416" s="7"/>
      <c r="B416" s="31"/>
      <c r="C416" s="11"/>
      <c r="D416" s="11"/>
      <c r="E416" s="8"/>
      <c r="F416" s="8"/>
      <c r="G416" s="10"/>
      <c r="H416" s="10"/>
    </row>
    <row r="417" spans="1:8" s="15" customFormat="1" ht="42" x14ac:dyDescent="0.15">
      <c r="A417" s="7">
        <v>10.4</v>
      </c>
      <c r="B417" s="44" t="s">
        <v>747</v>
      </c>
      <c r="C417" s="11" t="s">
        <v>80</v>
      </c>
      <c r="D417" s="11" t="s">
        <v>730</v>
      </c>
      <c r="E417" s="8" t="s">
        <v>10</v>
      </c>
      <c r="F417" s="8">
        <v>1</v>
      </c>
      <c r="G417" s="10">
        <v>25</v>
      </c>
      <c r="H417" s="10">
        <f>SUM(F417*G417)</f>
        <v>25</v>
      </c>
    </row>
    <row r="418" spans="1:8" s="15" customFormat="1" x14ac:dyDescent="0.15">
      <c r="A418" s="7"/>
      <c r="B418" s="31"/>
      <c r="C418" s="11"/>
      <c r="D418" s="11"/>
      <c r="E418" s="8"/>
      <c r="F418" s="8"/>
      <c r="G418" s="10"/>
      <c r="H418" s="10"/>
    </row>
    <row r="419" spans="1:8" s="15" customFormat="1" ht="28" x14ac:dyDescent="0.15">
      <c r="A419" s="7">
        <v>10.41</v>
      </c>
      <c r="B419" s="33" t="s">
        <v>743</v>
      </c>
      <c r="C419" s="5" t="s">
        <v>17</v>
      </c>
      <c r="D419" s="5" t="s">
        <v>18</v>
      </c>
      <c r="E419" s="8" t="s">
        <v>10</v>
      </c>
      <c r="F419" s="8">
        <v>1</v>
      </c>
      <c r="G419" s="10">
        <v>10</v>
      </c>
      <c r="H419" s="10">
        <f>SUM(F419*G419)</f>
        <v>10</v>
      </c>
    </row>
    <row r="420" spans="1:8" s="15" customFormat="1" x14ac:dyDescent="0.15">
      <c r="A420" s="7"/>
      <c r="B420" s="31"/>
      <c r="C420" s="11"/>
      <c r="D420" s="11"/>
      <c r="E420" s="8"/>
      <c r="F420" s="8"/>
      <c r="G420" s="10"/>
      <c r="H420" s="10"/>
    </row>
    <row r="421" spans="1:8" s="15" customFormat="1" ht="14" x14ac:dyDescent="0.15">
      <c r="A421" s="7">
        <v>10.42</v>
      </c>
      <c r="B421" s="8"/>
      <c r="C421" s="14" t="s">
        <v>261</v>
      </c>
      <c r="D421" s="11"/>
      <c r="E421" s="8"/>
      <c r="F421" s="8"/>
      <c r="G421" s="10"/>
      <c r="H421" s="10"/>
    </row>
    <row r="422" spans="1:8" s="15" customFormat="1" x14ac:dyDescent="0.15">
      <c r="A422" s="7"/>
      <c r="B422" s="31"/>
      <c r="C422" s="11"/>
      <c r="D422" s="11"/>
      <c r="E422" s="8"/>
      <c r="F422" s="8"/>
      <c r="G422" s="40"/>
      <c r="H422" s="10"/>
    </row>
    <row r="423" spans="1:8" s="15" customFormat="1" ht="42" x14ac:dyDescent="0.15">
      <c r="A423" s="7">
        <v>10.43</v>
      </c>
      <c r="B423" s="44" t="s">
        <v>747</v>
      </c>
      <c r="C423" s="38" t="s">
        <v>191</v>
      </c>
      <c r="D423" s="41" t="s">
        <v>15</v>
      </c>
      <c r="E423" s="48" t="s">
        <v>76</v>
      </c>
      <c r="F423" s="8">
        <v>15</v>
      </c>
      <c r="G423" s="49">
        <v>9</v>
      </c>
      <c r="H423" s="10">
        <f>SUM(F423*G423)</f>
        <v>135</v>
      </c>
    </row>
    <row r="424" spans="1:8" s="15" customFormat="1" x14ac:dyDescent="0.15">
      <c r="A424" s="7"/>
      <c r="B424" s="31"/>
      <c r="C424" s="11"/>
      <c r="D424" s="11"/>
      <c r="E424" s="8"/>
      <c r="F424" s="8"/>
      <c r="G424" s="10"/>
      <c r="H424" s="10"/>
    </row>
    <row r="425" spans="1:8" s="15" customFormat="1" ht="28" x14ac:dyDescent="0.15">
      <c r="A425" s="7">
        <v>10.44</v>
      </c>
      <c r="B425" s="33" t="s">
        <v>743</v>
      </c>
      <c r="C425" s="41" t="s">
        <v>214</v>
      </c>
      <c r="D425" s="52" t="s">
        <v>19</v>
      </c>
      <c r="E425" s="48" t="s">
        <v>10</v>
      </c>
      <c r="F425" s="8">
        <v>2</v>
      </c>
      <c r="G425" s="53">
        <v>20</v>
      </c>
      <c r="H425" s="10">
        <f>SUM(F425*G425)</f>
        <v>40</v>
      </c>
    </row>
    <row r="426" spans="1:8" s="15" customFormat="1" x14ac:dyDescent="0.15">
      <c r="A426" s="7"/>
      <c r="B426" s="31"/>
      <c r="C426" s="11"/>
      <c r="D426" s="11"/>
      <c r="E426" s="8"/>
      <c r="F426" s="8"/>
      <c r="G426" s="10"/>
      <c r="H426" s="10"/>
    </row>
    <row r="427" spans="1:8" s="15" customFormat="1" ht="28" x14ac:dyDescent="0.15">
      <c r="A427" s="7">
        <v>10.45</v>
      </c>
      <c r="B427" s="44" t="s">
        <v>747</v>
      </c>
      <c r="C427" s="11" t="s">
        <v>710</v>
      </c>
      <c r="D427" s="11" t="s">
        <v>322</v>
      </c>
      <c r="E427" s="8" t="s">
        <v>11</v>
      </c>
      <c r="F427" s="8">
        <v>16</v>
      </c>
      <c r="G427" s="10">
        <v>10</v>
      </c>
      <c r="H427" s="10">
        <f>SUM(F427*G427)</f>
        <v>160</v>
      </c>
    </row>
    <row r="428" spans="1:8" s="15" customFormat="1" x14ac:dyDescent="0.15">
      <c r="A428" s="7"/>
      <c r="B428" s="31"/>
      <c r="C428" s="11"/>
      <c r="D428" s="11"/>
      <c r="E428" s="8"/>
      <c r="F428" s="8"/>
      <c r="G428" s="10"/>
      <c r="H428" s="10"/>
    </row>
    <row r="429" spans="1:8" s="15" customFormat="1" ht="28" x14ac:dyDescent="0.15">
      <c r="A429" s="7">
        <v>10.46</v>
      </c>
      <c r="B429" s="44" t="s">
        <v>747</v>
      </c>
      <c r="C429" s="38" t="s">
        <v>215</v>
      </c>
      <c r="D429" s="38" t="s">
        <v>102</v>
      </c>
      <c r="E429" s="48" t="s">
        <v>76</v>
      </c>
      <c r="F429" s="34">
        <v>34</v>
      </c>
      <c r="G429" s="10">
        <v>8</v>
      </c>
      <c r="H429" s="10">
        <f>SUM(F429*G429)</f>
        <v>272</v>
      </c>
    </row>
    <row r="430" spans="1:8" s="15" customFormat="1" x14ac:dyDescent="0.15">
      <c r="A430" s="7"/>
      <c r="B430" s="33"/>
      <c r="C430" s="38"/>
      <c r="D430" s="38"/>
      <c r="E430" s="48"/>
      <c r="F430" s="34"/>
      <c r="G430" s="10"/>
      <c r="H430" s="10"/>
    </row>
    <row r="431" spans="1:8" s="15" customFormat="1" ht="28" x14ac:dyDescent="0.15">
      <c r="A431" s="7">
        <v>10.47</v>
      </c>
      <c r="B431" s="44" t="s">
        <v>747</v>
      </c>
      <c r="C431" s="11" t="s">
        <v>78</v>
      </c>
      <c r="D431" s="11" t="s">
        <v>789</v>
      </c>
      <c r="E431" s="8" t="s">
        <v>11</v>
      </c>
      <c r="F431" s="8">
        <v>15</v>
      </c>
      <c r="G431" s="10">
        <v>5</v>
      </c>
      <c r="H431" s="10">
        <f>SUM(F431*G431)</f>
        <v>75</v>
      </c>
    </row>
    <row r="432" spans="1:8" s="15" customFormat="1" x14ac:dyDescent="0.15">
      <c r="A432" s="7"/>
      <c r="B432" s="33"/>
      <c r="C432" s="11"/>
      <c r="D432" s="11"/>
      <c r="E432" s="8"/>
      <c r="F432" s="8"/>
      <c r="G432" s="10"/>
      <c r="H432" s="10"/>
    </row>
    <row r="433" spans="1:8" s="15" customFormat="1" ht="14" x14ac:dyDescent="0.15">
      <c r="A433" s="7">
        <v>10.48</v>
      </c>
      <c r="B433" s="33" t="s">
        <v>743</v>
      </c>
      <c r="C433" s="41" t="s">
        <v>53</v>
      </c>
      <c r="D433" s="41" t="s">
        <v>217</v>
      </c>
      <c r="E433" s="48" t="s">
        <v>76</v>
      </c>
      <c r="F433" s="8">
        <v>15</v>
      </c>
      <c r="G433" s="49">
        <v>48</v>
      </c>
      <c r="H433" s="10">
        <f>SUM(F433*G433)</f>
        <v>720</v>
      </c>
    </row>
    <row r="434" spans="1:8" s="15" customFormat="1" x14ac:dyDescent="0.15">
      <c r="A434" s="7"/>
      <c r="B434" s="31"/>
      <c r="C434" s="41"/>
      <c r="D434" s="41"/>
      <c r="E434" s="48"/>
      <c r="F434" s="8"/>
      <c r="G434" s="49"/>
      <c r="H434" s="10"/>
    </row>
    <row r="435" spans="1:8" s="15" customFormat="1" ht="28" x14ac:dyDescent="0.15">
      <c r="A435" s="7">
        <v>10.49</v>
      </c>
      <c r="B435" s="33" t="s">
        <v>745</v>
      </c>
      <c r="C435" s="11" t="s">
        <v>323</v>
      </c>
      <c r="D435" s="11" t="s">
        <v>324</v>
      </c>
      <c r="E435" s="8" t="s">
        <v>8</v>
      </c>
      <c r="F435" s="8"/>
      <c r="G435" s="10"/>
      <c r="H435" s="10">
        <v>20</v>
      </c>
    </row>
    <row r="436" spans="1:8" s="15" customFormat="1" x14ac:dyDescent="0.15">
      <c r="A436" s="7"/>
      <c r="B436" s="8"/>
      <c r="C436" s="11"/>
      <c r="D436" s="11"/>
      <c r="E436" s="8"/>
      <c r="F436" s="8"/>
      <c r="G436" s="10"/>
      <c r="H436" s="10"/>
    </row>
    <row r="437" spans="1:8" s="15" customFormat="1" ht="42" x14ac:dyDescent="0.15">
      <c r="A437" s="7">
        <v>10.5</v>
      </c>
      <c r="B437" s="8" t="s">
        <v>747</v>
      </c>
      <c r="C437" s="11" t="s">
        <v>80</v>
      </c>
      <c r="D437" s="11" t="s">
        <v>568</v>
      </c>
      <c r="E437" s="8" t="s">
        <v>10</v>
      </c>
      <c r="F437" s="8">
        <v>1</v>
      </c>
      <c r="G437" s="10">
        <v>25</v>
      </c>
      <c r="H437" s="10">
        <f>SUM(F437*G437)</f>
        <v>25</v>
      </c>
    </row>
    <row r="438" spans="1:8" s="15" customFormat="1" x14ac:dyDescent="0.15">
      <c r="A438" s="7"/>
      <c r="B438" s="31"/>
      <c r="C438" s="11"/>
      <c r="D438" s="11"/>
      <c r="E438" s="8"/>
      <c r="F438" s="8"/>
      <c r="G438" s="10"/>
      <c r="H438" s="10"/>
    </row>
    <row r="439" spans="1:8" s="15" customFormat="1" ht="28" x14ac:dyDescent="0.15">
      <c r="A439" s="7">
        <v>10.51</v>
      </c>
      <c r="B439" s="33" t="s">
        <v>743</v>
      </c>
      <c r="C439" s="5" t="s">
        <v>17</v>
      </c>
      <c r="D439" s="5" t="s">
        <v>18</v>
      </c>
      <c r="E439" s="8" t="s">
        <v>10</v>
      </c>
      <c r="F439" s="8">
        <v>1</v>
      </c>
      <c r="G439" s="10">
        <v>10</v>
      </c>
      <c r="H439" s="10">
        <f>SUM(F439*G439)</f>
        <v>10</v>
      </c>
    </row>
    <row r="440" spans="1:8" s="15" customFormat="1" x14ac:dyDescent="0.15">
      <c r="A440" s="7"/>
      <c r="B440" s="31"/>
      <c r="C440" s="5"/>
      <c r="D440" s="5"/>
      <c r="E440" s="8"/>
      <c r="F440" s="8"/>
      <c r="G440" s="10"/>
      <c r="H440" s="10"/>
    </row>
    <row r="441" spans="1:8" s="15" customFormat="1" ht="14" x14ac:dyDescent="0.15">
      <c r="A441" s="7"/>
      <c r="B441" s="8"/>
      <c r="C441" s="1" t="s">
        <v>262</v>
      </c>
      <c r="D441" s="5"/>
      <c r="E441" s="8"/>
      <c r="F441" s="8"/>
      <c r="G441" s="10"/>
      <c r="H441" s="10"/>
    </row>
    <row r="442" spans="1:8" s="15" customFormat="1" x14ac:dyDescent="0.15">
      <c r="A442" s="7"/>
      <c r="B442" s="31"/>
      <c r="C442" s="11"/>
      <c r="D442" s="11"/>
      <c r="E442" s="8"/>
      <c r="F442" s="8"/>
      <c r="G442" s="10"/>
      <c r="H442" s="10"/>
    </row>
    <row r="443" spans="1:8" s="15" customFormat="1" ht="42" x14ac:dyDescent="0.15">
      <c r="A443" s="7">
        <v>10.52</v>
      </c>
      <c r="B443" s="44" t="s">
        <v>747</v>
      </c>
      <c r="C443" s="38" t="s">
        <v>191</v>
      </c>
      <c r="D443" s="41" t="s">
        <v>15</v>
      </c>
      <c r="E443" s="48" t="s">
        <v>76</v>
      </c>
      <c r="F443" s="8">
        <v>15</v>
      </c>
      <c r="G443" s="49">
        <v>9</v>
      </c>
      <c r="H443" s="10">
        <f>SUM(F443*G443)</f>
        <v>135</v>
      </c>
    </row>
    <row r="444" spans="1:8" s="15" customFormat="1" x14ac:dyDescent="0.15">
      <c r="A444" s="35"/>
      <c r="B444" s="31"/>
      <c r="C444" s="11"/>
      <c r="D444" s="11"/>
      <c r="E444" s="8"/>
      <c r="F444" s="8"/>
      <c r="G444" s="10"/>
      <c r="H444" s="10"/>
    </row>
    <row r="445" spans="1:8" s="15" customFormat="1" ht="28" x14ac:dyDescent="0.15">
      <c r="A445" s="35">
        <v>10.53</v>
      </c>
      <c r="B445" s="33" t="s">
        <v>743</v>
      </c>
      <c r="C445" s="41" t="s">
        <v>214</v>
      </c>
      <c r="D445" s="52" t="s">
        <v>19</v>
      </c>
      <c r="E445" s="48" t="s">
        <v>10</v>
      </c>
      <c r="F445" s="8">
        <v>2</v>
      </c>
      <c r="G445" s="53">
        <v>20</v>
      </c>
      <c r="H445" s="10">
        <f>SUM(F445*G445)</f>
        <v>40</v>
      </c>
    </row>
    <row r="446" spans="1:8" s="15" customFormat="1" x14ac:dyDescent="0.15">
      <c r="A446" s="35"/>
      <c r="B446" s="31"/>
      <c r="C446" s="11"/>
      <c r="D446" s="11"/>
      <c r="E446" s="8"/>
      <c r="F446" s="8"/>
      <c r="G446" s="10"/>
      <c r="H446" s="10"/>
    </row>
    <row r="447" spans="1:8" s="15" customFormat="1" ht="28" x14ac:dyDescent="0.15">
      <c r="A447" s="35">
        <v>10.54</v>
      </c>
      <c r="B447" s="44" t="s">
        <v>747</v>
      </c>
      <c r="C447" s="11" t="s">
        <v>710</v>
      </c>
      <c r="D447" s="11" t="s">
        <v>322</v>
      </c>
      <c r="E447" s="8" t="s">
        <v>11</v>
      </c>
      <c r="F447" s="8">
        <v>16</v>
      </c>
      <c r="G447" s="10">
        <v>10</v>
      </c>
      <c r="H447" s="10">
        <f>SUM(F447*G447)</f>
        <v>160</v>
      </c>
    </row>
    <row r="448" spans="1:8" s="15" customFormat="1" x14ac:dyDescent="0.15">
      <c r="A448" s="35"/>
      <c r="B448" s="31"/>
      <c r="C448" s="11"/>
      <c r="D448" s="11"/>
      <c r="E448" s="8"/>
      <c r="F448" s="8"/>
      <c r="G448" s="10"/>
      <c r="H448" s="10"/>
    </row>
    <row r="449" spans="1:9" s="15" customFormat="1" ht="28" x14ac:dyDescent="0.15">
      <c r="A449" s="35">
        <v>10.55</v>
      </c>
      <c r="B449" s="44" t="s">
        <v>747</v>
      </c>
      <c r="C449" s="38" t="s">
        <v>215</v>
      </c>
      <c r="D449" s="38" t="s">
        <v>102</v>
      </c>
      <c r="E449" s="48" t="s">
        <v>76</v>
      </c>
      <c r="F449" s="34">
        <v>34</v>
      </c>
      <c r="G449" s="10">
        <v>8</v>
      </c>
      <c r="H449" s="10">
        <f>SUM(F449*G449)</f>
        <v>272</v>
      </c>
    </row>
    <row r="450" spans="1:9" s="15" customFormat="1" x14ac:dyDescent="0.15">
      <c r="A450" s="35"/>
      <c r="B450" s="33"/>
      <c r="C450" s="38"/>
      <c r="D450" s="38"/>
      <c r="E450" s="48"/>
      <c r="F450" s="34"/>
      <c r="G450" s="10"/>
      <c r="H450" s="10"/>
    </row>
    <row r="451" spans="1:9" s="15" customFormat="1" ht="28" x14ac:dyDescent="0.15">
      <c r="A451" s="35">
        <v>10.56</v>
      </c>
      <c r="B451" s="44" t="s">
        <v>747</v>
      </c>
      <c r="C451" s="11" t="s">
        <v>78</v>
      </c>
      <c r="D451" s="11" t="s">
        <v>789</v>
      </c>
      <c r="E451" s="8" t="s">
        <v>11</v>
      </c>
      <c r="F451" s="8">
        <v>15</v>
      </c>
      <c r="G451" s="10">
        <v>5</v>
      </c>
      <c r="H451" s="10">
        <f>SUM(F451*G451)</f>
        <v>75</v>
      </c>
    </row>
    <row r="452" spans="1:9" s="15" customFormat="1" x14ac:dyDescent="0.15">
      <c r="A452" s="35"/>
      <c r="B452" s="33"/>
      <c r="C452" s="11"/>
      <c r="D452" s="11"/>
      <c r="E452" s="8"/>
      <c r="F452" s="8"/>
      <c r="G452" s="10"/>
      <c r="H452" s="10"/>
    </row>
    <row r="453" spans="1:9" s="15" customFormat="1" ht="14" x14ac:dyDescent="0.15">
      <c r="A453" s="35">
        <v>10.57</v>
      </c>
      <c r="B453" s="33" t="s">
        <v>743</v>
      </c>
      <c r="C453" s="41" t="s">
        <v>53</v>
      </c>
      <c r="D453" s="41" t="s">
        <v>217</v>
      </c>
      <c r="E453" s="48" t="s">
        <v>76</v>
      </c>
      <c r="F453" s="8">
        <v>15</v>
      </c>
      <c r="G453" s="49">
        <v>48</v>
      </c>
      <c r="H453" s="10">
        <f>SUM(F453*G453)</f>
        <v>720</v>
      </c>
      <c r="I453" s="11"/>
    </row>
    <row r="454" spans="1:9" s="15" customFormat="1" x14ac:dyDescent="0.15">
      <c r="A454" s="35"/>
      <c r="B454" s="33"/>
      <c r="C454" s="41"/>
      <c r="D454" s="41"/>
      <c r="E454" s="48"/>
      <c r="F454" s="8"/>
      <c r="G454" s="49"/>
      <c r="H454" s="10"/>
      <c r="I454" s="11"/>
    </row>
    <row r="455" spans="1:9" s="15" customFormat="1" ht="28" x14ac:dyDescent="0.15">
      <c r="A455" s="35">
        <v>10.58</v>
      </c>
      <c r="B455" s="33" t="s">
        <v>745</v>
      </c>
      <c r="C455" s="11" t="s">
        <v>323</v>
      </c>
      <c r="D455" s="11" t="s">
        <v>324</v>
      </c>
      <c r="E455" s="8" t="s">
        <v>8</v>
      </c>
      <c r="F455" s="8"/>
      <c r="G455" s="10"/>
      <c r="H455" s="10">
        <v>20</v>
      </c>
      <c r="I455" s="11"/>
    </row>
    <row r="456" spans="1:9" s="15" customFormat="1" x14ac:dyDescent="0.15">
      <c r="A456" s="35"/>
      <c r="B456" s="33"/>
      <c r="C456" s="11"/>
      <c r="D456" s="11"/>
      <c r="E456" s="8"/>
      <c r="F456" s="8"/>
      <c r="G456" s="10"/>
      <c r="H456" s="10"/>
      <c r="I456" s="11"/>
    </row>
    <row r="457" spans="1:9" s="15" customFormat="1" ht="42" x14ac:dyDescent="0.15">
      <c r="A457" s="35">
        <v>10.59</v>
      </c>
      <c r="B457" s="44" t="s">
        <v>747</v>
      </c>
      <c r="C457" s="11" t="s">
        <v>80</v>
      </c>
      <c r="D457" s="11" t="s">
        <v>568</v>
      </c>
      <c r="E457" s="8" t="s">
        <v>10</v>
      </c>
      <c r="F457" s="8">
        <v>1</v>
      </c>
      <c r="G457" s="10">
        <v>25</v>
      </c>
      <c r="H457" s="10">
        <f>SUM(F457*G457)</f>
        <v>25</v>
      </c>
      <c r="I457" s="11"/>
    </row>
    <row r="458" spans="1:9" s="14" customFormat="1" x14ac:dyDescent="0.15">
      <c r="A458" s="35"/>
      <c r="B458" s="31"/>
      <c r="C458" s="11"/>
      <c r="D458" s="11"/>
      <c r="E458" s="8"/>
      <c r="F458" s="8"/>
      <c r="G458" s="10"/>
      <c r="H458" s="10"/>
      <c r="I458" s="11"/>
    </row>
    <row r="459" spans="1:9" s="14" customFormat="1" ht="28" x14ac:dyDescent="0.15">
      <c r="A459" s="35">
        <v>10.6</v>
      </c>
      <c r="B459" s="33" t="s">
        <v>743</v>
      </c>
      <c r="C459" s="5" t="s">
        <v>17</v>
      </c>
      <c r="D459" s="5" t="s">
        <v>18</v>
      </c>
      <c r="E459" s="8" t="s">
        <v>10</v>
      </c>
      <c r="F459" s="8">
        <v>1</v>
      </c>
      <c r="G459" s="10">
        <v>10</v>
      </c>
      <c r="H459" s="10">
        <f>SUM(F459*G459)</f>
        <v>10</v>
      </c>
      <c r="I459" s="11"/>
    </row>
    <row r="460" spans="1:9" s="15" customFormat="1" x14ac:dyDescent="0.15">
      <c r="A460" s="35"/>
      <c r="B460" s="31"/>
      <c r="C460" s="11"/>
      <c r="D460" s="11"/>
      <c r="E460" s="8"/>
      <c r="F460" s="8"/>
      <c r="G460" s="10"/>
      <c r="H460" s="10"/>
      <c r="I460" s="11"/>
    </row>
    <row r="461" spans="1:9" s="15" customFormat="1" ht="14" x14ac:dyDescent="0.15">
      <c r="B461" s="33"/>
      <c r="C461" s="14" t="s">
        <v>263</v>
      </c>
      <c r="D461" s="11"/>
      <c r="E461" s="8"/>
      <c r="F461" s="8"/>
      <c r="G461" s="10"/>
      <c r="H461" s="10"/>
      <c r="I461" s="11"/>
    </row>
    <row r="462" spans="1:9" s="15" customFormat="1" x14ac:dyDescent="0.15">
      <c r="A462" s="35"/>
      <c r="B462" s="31"/>
      <c r="C462" s="11"/>
      <c r="D462" s="11"/>
      <c r="E462" s="8"/>
      <c r="F462" s="8"/>
      <c r="G462" s="10"/>
      <c r="H462" s="10"/>
      <c r="I462" s="11"/>
    </row>
    <row r="463" spans="1:9" s="15" customFormat="1" ht="42" x14ac:dyDescent="0.15">
      <c r="A463" s="35">
        <v>10.61</v>
      </c>
      <c r="B463" s="44" t="s">
        <v>747</v>
      </c>
      <c r="C463" s="38" t="s">
        <v>191</v>
      </c>
      <c r="D463" s="41" t="s">
        <v>15</v>
      </c>
      <c r="E463" s="48" t="s">
        <v>76</v>
      </c>
      <c r="F463" s="8">
        <v>12</v>
      </c>
      <c r="G463" s="49">
        <v>9</v>
      </c>
      <c r="H463" s="10">
        <f>SUM(F463*G463)</f>
        <v>108</v>
      </c>
      <c r="I463" s="11"/>
    </row>
    <row r="464" spans="1:9" s="15" customFormat="1" x14ac:dyDescent="0.15">
      <c r="A464" s="35"/>
      <c r="B464" s="31"/>
      <c r="C464" s="11"/>
      <c r="D464" s="11"/>
      <c r="E464" s="8"/>
      <c r="F464" s="8"/>
      <c r="G464" s="10"/>
      <c r="H464" s="10"/>
      <c r="I464" s="11"/>
    </row>
    <row r="465" spans="1:9" s="15" customFormat="1" ht="28" x14ac:dyDescent="0.15">
      <c r="A465" s="7">
        <v>10.62</v>
      </c>
      <c r="B465" s="33" t="s">
        <v>743</v>
      </c>
      <c r="C465" s="41" t="s">
        <v>214</v>
      </c>
      <c r="D465" s="52" t="s">
        <v>19</v>
      </c>
      <c r="E465" s="48" t="s">
        <v>10</v>
      </c>
      <c r="F465" s="8">
        <v>2</v>
      </c>
      <c r="G465" s="53">
        <v>20</v>
      </c>
      <c r="H465" s="10">
        <f>SUM(F465*G465)</f>
        <v>40</v>
      </c>
      <c r="I465" s="11"/>
    </row>
    <row r="466" spans="1:9" s="15" customFormat="1" x14ac:dyDescent="0.15">
      <c r="A466" s="7"/>
      <c r="B466" s="31"/>
      <c r="C466" s="11"/>
      <c r="D466" s="11"/>
      <c r="E466" s="8"/>
      <c r="F466" s="8"/>
      <c r="G466" s="10"/>
      <c r="H466" s="10"/>
      <c r="I466" s="11"/>
    </row>
    <row r="467" spans="1:9" s="15" customFormat="1" ht="28" x14ac:dyDescent="0.15">
      <c r="A467" s="7">
        <v>10.63</v>
      </c>
      <c r="B467" s="44" t="s">
        <v>747</v>
      </c>
      <c r="C467" s="11" t="s">
        <v>710</v>
      </c>
      <c r="D467" s="11" t="s">
        <v>322</v>
      </c>
      <c r="E467" s="8" t="s">
        <v>11</v>
      </c>
      <c r="F467" s="8">
        <v>15</v>
      </c>
      <c r="G467" s="10">
        <v>10</v>
      </c>
      <c r="H467" s="10">
        <f>SUM(F467*G467)</f>
        <v>150</v>
      </c>
      <c r="I467" s="11"/>
    </row>
    <row r="468" spans="1:9" s="15" customFormat="1" x14ac:dyDescent="0.15">
      <c r="A468" s="7"/>
      <c r="B468" s="31"/>
      <c r="C468" s="11"/>
      <c r="D468" s="11"/>
      <c r="E468" s="8"/>
      <c r="F468" s="8"/>
      <c r="G468" s="10"/>
      <c r="H468" s="10"/>
      <c r="I468" s="11"/>
    </row>
    <row r="469" spans="1:9" s="15" customFormat="1" ht="28" x14ac:dyDescent="0.15">
      <c r="A469" s="7">
        <v>10.64</v>
      </c>
      <c r="B469" s="44" t="s">
        <v>747</v>
      </c>
      <c r="C469" s="38" t="s">
        <v>215</v>
      </c>
      <c r="D469" s="38" t="s">
        <v>102</v>
      </c>
      <c r="E469" s="48" t="s">
        <v>76</v>
      </c>
      <c r="F469" s="34">
        <v>27</v>
      </c>
      <c r="G469" s="10">
        <v>8</v>
      </c>
      <c r="H469" s="10">
        <f>SUM(F469*G469)</f>
        <v>216</v>
      </c>
      <c r="I469" s="11"/>
    </row>
    <row r="470" spans="1:9" s="15" customFormat="1" x14ac:dyDescent="0.15">
      <c r="A470" s="7"/>
      <c r="B470" s="33"/>
      <c r="C470" s="38"/>
      <c r="D470" s="38"/>
      <c r="E470" s="48"/>
      <c r="F470" s="34"/>
      <c r="G470" s="10"/>
      <c r="H470" s="10"/>
      <c r="I470" s="11"/>
    </row>
    <row r="471" spans="1:9" s="15" customFormat="1" ht="28" x14ac:dyDescent="0.15">
      <c r="A471" s="7">
        <v>10.65</v>
      </c>
      <c r="B471" s="44" t="s">
        <v>747</v>
      </c>
      <c r="C471" s="11" t="s">
        <v>78</v>
      </c>
      <c r="D471" s="11" t="s">
        <v>789</v>
      </c>
      <c r="E471" s="8" t="s">
        <v>11</v>
      </c>
      <c r="F471" s="8">
        <v>14</v>
      </c>
      <c r="G471" s="10">
        <v>5</v>
      </c>
      <c r="H471" s="10">
        <f>SUM(F471*G471)</f>
        <v>70</v>
      </c>
      <c r="I471" s="11"/>
    </row>
    <row r="472" spans="1:9" s="15" customFormat="1" x14ac:dyDescent="0.15">
      <c r="A472" s="7"/>
      <c r="B472" s="33"/>
      <c r="C472" s="11"/>
      <c r="D472" s="11"/>
      <c r="E472" s="8"/>
      <c r="F472" s="8"/>
      <c r="G472" s="10"/>
      <c r="H472" s="10"/>
      <c r="I472" s="11"/>
    </row>
    <row r="473" spans="1:9" s="15" customFormat="1" ht="14" x14ac:dyDescent="0.15">
      <c r="A473" s="7">
        <v>10.66</v>
      </c>
      <c r="B473" s="33" t="s">
        <v>743</v>
      </c>
      <c r="C473" s="41" t="s">
        <v>53</v>
      </c>
      <c r="D473" s="41" t="s">
        <v>217</v>
      </c>
      <c r="E473" s="48" t="s">
        <v>76</v>
      </c>
      <c r="F473" s="8">
        <v>12</v>
      </c>
      <c r="G473" s="49">
        <v>48</v>
      </c>
      <c r="H473" s="10">
        <f>SUM(F473*G473)</f>
        <v>576</v>
      </c>
      <c r="I473" s="11"/>
    </row>
    <row r="474" spans="1:9" s="15" customFormat="1" x14ac:dyDescent="0.15">
      <c r="A474" s="7"/>
      <c r="B474" s="33"/>
      <c r="C474" s="41"/>
      <c r="D474" s="41"/>
      <c r="E474" s="48"/>
      <c r="F474" s="8"/>
      <c r="G474" s="49"/>
      <c r="H474" s="10"/>
      <c r="I474" s="11"/>
    </row>
    <row r="475" spans="1:9" s="15" customFormat="1" ht="28" x14ac:dyDescent="0.15">
      <c r="A475" s="7">
        <v>10.67</v>
      </c>
      <c r="B475" s="33" t="s">
        <v>745</v>
      </c>
      <c r="C475" s="11" t="s">
        <v>323</v>
      </c>
      <c r="D475" s="11" t="s">
        <v>324</v>
      </c>
      <c r="E475" s="8" t="s">
        <v>8</v>
      </c>
      <c r="F475" s="8"/>
      <c r="G475" s="10"/>
      <c r="H475" s="10">
        <v>20</v>
      </c>
      <c r="I475" s="11"/>
    </row>
    <row r="476" spans="1:9" s="15" customFormat="1" x14ac:dyDescent="0.15">
      <c r="A476" s="7"/>
      <c r="B476" s="33"/>
      <c r="C476" s="11"/>
      <c r="D476" s="11"/>
      <c r="E476" s="8"/>
      <c r="F476" s="8"/>
      <c r="G476" s="10"/>
      <c r="H476" s="10"/>
    </row>
    <row r="477" spans="1:9" s="15" customFormat="1" ht="42" x14ac:dyDescent="0.15">
      <c r="A477" s="7">
        <v>10.68</v>
      </c>
      <c r="B477" s="44" t="s">
        <v>747</v>
      </c>
      <c r="C477" s="11" t="s">
        <v>80</v>
      </c>
      <c r="D477" s="11" t="s">
        <v>568</v>
      </c>
      <c r="E477" s="8" t="s">
        <v>10</v>
      </c>
      <c r="F477" s="8">
        <v>1</v>
      </c>
      <c r="G477" s="10">
        <v>25</v>
      </c>
      <c r="H477" s="10">
        <f>SUM(F477*G477)</f>
        <v>25</v>
      </c>
    </row>
    <row r="478" spans="1:9" s="15" customFormat="1" x14ac:dyDescent="0.15">
      <c r="A478" s="7"/>
      <c r="B478" s="31"/>
      <c r="C478" s="11"/>
      <c r="D478" s="11"/>
      <c r="E478" s="8"/>
      <c r="F478" s="8"/>
      <c r="G478" s="10"/>
      <c r="H478" s="10"/>
    </row>
    <row r="479" spans="1:9" s="15" customFormat="1" ht="28" x14ac:dyDescent="0.15">
      <c r="A479" s="7">
        <v>10.69</v>
      </c>
      <c r="B479" s="33" t="s">
        <v>743</v>
      </c>
      <c r="C479" s="5" t="s">
        <v>17</v>
      </c>
      <c r="D479" s="5" t="s">
        <v>18</v>
      </c>
      <c r="E479" s="8" t="s">
        <v>10</v>
      </c>
      <c r="F479" s="8">
        <v>1</v>
      </c>
      <c r="G479" s="10">
        <v>10</v>
      </c>
      <c r="H479" s="10">
        <f>SUM(F479*G479)</f>
        <v>10</v>
      </c>
    </row>
    <row r="480" spans="1:9" s="15" customFormat="1" x14ac:dyDescent="0.15">
      <c r="A480" s="7"/>
      <c r="B480" s="31"/>
      <c r="C480" s="5"/>
      <c r="D480" s="5"/>
      <c r="E480" s="8"/>
      <c r="F480" s="8"/>
      <c r="G480" s="10"/>
      <c r="H480" s="10"/>
    </row>
    <row r="481" spans="1:8" s="15" customFormat="1" ht="14" x14ac:dyDescent="0.15">
      <c r="A481" s="7"/>
      <c r="B481" s="31"/>
      <c r="C481" s="14" t="s">
        <v>719</v>
      </c>
      <c r="D481" s="11"/>
      <c r="E481" s="8"/>
      <c r="F481" s="8"/>
      <c r="G481" s="10"/>
      <c r="H481" s="10"/>
    </row>
    <row r="482" spans="1:8" s="15" customFormat="1" x14ac:dyDescent="0.15">
      <c r="A482" s="7"/>
      <c r="B482" s="31"/>
      <c r="C482" s="14"/>
      <c r="D482" s="11"/>
      <c r="E482" s="8"/>
      <c r="F482" s="8"/>
      <c r="G482" s="10"/>
      <c r="H482" s="10"/>
    </row>
    <row r="483" spans="1:8" s="15" customFormat="1" ht="42" x14ac:dyDescent="0.15">
      <c r="A483" s="7">
        <v>10.7</v>
      </c>
      <c r="B483" s="44" t="s">
        <v>747</v>
      </c>
      <c r="C483" s="38" t="s">
        <v>245</v>
      </c>
      <c r="D483" s="41" t="s">
        <v>15</v>
      </c>
      <c r="E483" s="48" t="s">
        <v>76</v>
      </c>
      <c r="F483" s="48">
        <v>13</v>
      </c>
      <c r="G483" s="49">
        <v>9</v>
      </c>
      <c r="H483" s="10">
        <f>SUM(F483*G483)</f>
        <v>117</v>
      </c>
    </row>
    <row r="484" spans="1:8" s="15" customFormat="1" x14ac:dyDescent="0.15">
      <c r="A484" s="7"/>
      <c r="B484" s="31"/>
      <c r="C484" s="11"/>
      <c r="D484" s="11"/>
      <c r="E484" s="8"/>
      <c r="F484" s="8"/>
      <c r="G484" s="10"/>
      <c r="H484" s="10"/>
    </row>
    <row r="485" spans="1:8" s="15" customFormat="1" ht="28" x14ac:dyDescent="0.15">
      <c r="A485" s="7">
        <v>10.71</v>
      </c>
      <c r="B485" s="33" t="s">
        <v>743</v>
      </c>
      <c r="C485" s="38" t="s">
        <v>327</v>
      </c>
      <c r="D485" s="52" t="s">
        <v>19</v>
      </c>
      <c r="E485" s="48" t="s">
        <v>10</v>
      </c>
      <c r="F485" s="48">
        <v>3</v>
      </c>
      <c r="G485" s="53">
        <v>20</v>
      </c>
      <c r="H485" s="10">
        <f>SUM(F485*G485)</f>
        <v>60</v>
      </c>
    </row>
    <row r="486" spans="1:8" s="15" customFormat="1" x14ac:dyDescent="0.15">
      <c r="A486" s="7"/>
      <c r="B486" s="33"/>
      <c r="C486" s="11"/>
      <c r="D486" s="11"/>
      <c r="E486" s="8"/>
      <c r="F486" s="8"/>
      <c r="G486" s="10"/>
      <c r="H486" s="10"/>
    </row>
    <row r="487" spans="1:8" s="15" customFormat="1" ht="14" x14ac:dyDescent="0.15">
      <c r="A487" s="7">
        <v>10.72</v>
      </c>
      <c r="B487" s="44" t="s">
        <v>747</v>
      </c>
      <c r="C487" s="11" t="s">
        <v>720</v>
      </c>
      <c r="D487" s="11" t="s">
        <v>322</v>
      </c>
      <c r="E487" s="8" t="s">
        <v>11</v>
      </c>
      <c r="F487" s="8">
        <v>12</v>
      </c>
      <c r="G487" s="10">
        <v>10</v>
      </c>
      <c r="H487" s="10">
        <f>SUM(F487*G487)</f>
        <v>120</v>
      </c>
    </row>
    <row r="488" spans="1:8" s="15" customFormat="1" x14ac:dyDescent="0.15">
      <c r="A488" s="7"/>
      <c r="B488" s="31"/>
      <c r="C488" s="11"/>
      <c r="D488" s="11"/>
      <c r="E488" s="8"/>
      <c r="F488" s="8"/>
      <c r="G488" s="10"/>
      <c r="H488" s="10"/>
    </row>
    <row r="489" spans="1:8" s="15" customFormat="1" ht="28" x14ac:dyDescent="0.15">
      <c r="A489" s="7">
        <v>10.73</v>
      </c>
      <c r="B489" s="44" t="s">
        <v>747</v>
      </c>
      <c r="C489" s="38" t="s">
        <v>721</v>
      </c>
      <c r="D489" s="38" t="s">
        <v>722</v>
      </c>
      <c r="E489" s="48" t="s">
        <v>76</v>
      </c>
      <c r="F489" s="34">
        <v>40</v>
      </c>
      <c r="G489" s="10">
        <v>10</v>
      </c>
      <c r="H489" s="10">
        <f>SUM(F489*G489)</f>
        <v>400</v>
      </c>
    </row>
    <row r="490" spans="1:8" s="15" customFormat="1" x14ac:dyDescent="0.15">
      <c r="A490" s="7"/>
      <c r="B490" s="31"/>
      <c r="C490" s="38"/>
      <c r="D490" s="38"/>
      <c r="E490" s="48"/>
      <c r="F490" s="34"/>
      <c r="G490" s="10"/>
      <c r="H490" s="10"/>
    </row>
    <row r="491" spans="1:8" s="15" customFormat="1" ht="28" x14ac:dyDescent="0.15">
      <c r="A491" s="7">
        <v>10.74</v>
      </c>
      <c r="B491" s="33" t="s">
        <v>743</v>
      </c>
      <c r="C491" s="38" t="s">
        <v>723</v>
      </c>
      <c r="D491" s="38" t="s">
        <v>824</v>
      </c>
      <c r="E491" s="50" t="s">
        <v>8</v>
      </c>
      <c r="F491" s="34"/>
      <c r="G491" s="10"/>
      <c r="H491" s="10">
        <v>200</v>
      </c>
    </row>
    <row r="492" spans="1:8" s="15" customFormat="1" x14ac:dyDescent="0.15">
      <c r="A492" s="7"/>
      <c r="B492" s="31"/>
      <c r="C492" s="11"/>
      <c r="D492" s="11"/>
      <c r="E492" s="8"/>
      <c r="F492" s="34"/>
      <c r="G492" s="10"/>
      <c r="H492" s="10"/>
    </row>
    <row r="493" spans="1:8" s="15" customFormat="1" ht="14" x14ac:dyDescent="0.15">
      <c r="A493" s="7">
        <v>10.75</v>
      </c>
      <c r="B493" s="33" t="s">
        <v>743</v>
      </c>
      <c r="C493" s="41" t="s">
        <v>53</v>
      </c>
      <c r="D493" s="38" t="s">
        <v>90</v>
      </c>
      <c r="E493" s="48" t="s">
        <v>76</v>
      </c>
      <c r="F493" s="8">
        <v>13</v>
      </c>
      <c r="G493" s="49">
        <v>50</v>
      </c>
      <c r="H493" s="10">
        <f>SUM(F493*G493)</f>
        <v>650</v>
      </c>
    </row>
    <row r="494" spans="1:8" s="15" customFormat="1" x14ac:dyDescent="0.15">
      <c r="A494" s="7"/>
      <c r="B494" s="33"/>
      <c r="C494" s="41"/>
      <c r="D494" s="41"/>
      <c r="E494" s="48"/>
      <c r="F494" s="8"/>
      <c r="G494" s="49"/>
      <c r="H494" s="10"/>
    </row>
    <row r="495" spans="1:8" s="15" customFormat="1" ht="28" x14ac:dyDescent="0.15">
      <c r="A495" s="7">
        <v>10.76</v>
      </c>
      <c r="B495" s="33" t="s">
        <v>743</v>
      </c>
      <c r="C495" s="11" t="s">
        <v>726</v>
      </c>
      <c r="D495" s="11" t="s">
        <v>315</v>
      </c>
      <c r="E495" s="8" t="s">
        <v>10</v>
      </c>
      <c r="F495" s="8">
        <v>21</v>
      </c>
      <c r="G495" s="10">
        <v>50</v>
      </c>
      <c r="H495" s="10">
        <f>SUM(F495*G495)</f>
        <v>1050</v>
      </c>
    </row>
    <row r="496" spans="1:8" s="15" customFormat="1" x14ac:dyDescent="0.15">
      <c r="A496" s="7"/>
      <c r="B496" s="31"/>
      <c r="C496" s="11"/>
      <c r="D496" s="11"/>
      <c r="E496" s="8"/>
      <c r="F496" s="8"/>
      <c r="G496" s="10"/>
      <c r="H496" s="10"/>
    </row>
    <row r="497" spans="1:8" s="15" customFormat="1" ht="28" x14ac:dyDescent="0.15">
      <c r="A497" s="7">
        <v>10.77</v>
      </c>
      <c r="B497" s="44" t="s">
        <v>747</v>
      </c>
      <c r="C497" s="11" t="s">
        <v>78</v>
      </c>
      <c r="D497" s="11" t="s">
        <v>789</v>
      </c>
      <c r="E497" s="8" t="s">
        <v>11</v>
      </c>
      <c r="F497" s="8">
        <v>10</v>
      </c>
      <c r="G497" s="10">
        <v>10</v>
      </c>
      <c r="H497" s="10">
        <f>SUM(F497*G497)</f>
        <v>100</v>
      </c>
    </row>
    <row r="498" spans="1:8" s="15" customFormat="1" x14ac:dyDescent="0.15">
      <c r="A498" s="7"/>
      <c r="B498" s="31"/>
      <c r="C498" s="11"/>
      <c r="D498" s="11"/>
      <c r="E498" s="8"/>
      <c r="F498" s="34"/>
      <c r="G498" s="10"/>
      <c r="H498" s="10"/>
    </row>
    <row r="499" spans="1:8" s="15" customFormat="1" ht="28" x14ac:dyDescent="0.15">
      <c r="A499" s="7">
        <v>10.78</v>
      </c>
      <c r="B499" s="44" t="s">
        <v>747</v>
      </c>
      <c r="C499" s="38" t="s">
        <v>724</v>
      </c>
      <c r="D499" s="38" t="s">
        <v>91</v>
      </c>
      <c r="E499" s="42" t="s">
        <v>11</v>
      </c>
      <c r="F499" s="42">
        <v>7</v>
      </c>
      <c r="G499" s="10">
        <v>20</v>
      </c>
      <c r="H499" s="10">
        <f>SUM(F499*G499)</f>
        <v>140</v>
      </c>
    </row>
    <row r="500" spans="1:8" s="15" customFormat="1" x14ac:dyDescent="0.15">
      <c r="A500" s="7"/>
      <c r="B500" s="31"/>
      <c r="C500" s="11"/>
      <c r="D500" s="11"/>
      <c r="E500" s="8"/>
      <c r="F500" s="34"/>
      <c r="G500" s="10"/>
      <c r="H500" s="10"/>
    </row>
    <row r="501" spans="1:8" s="15" customFormat="1" ht="42" x14ac:dyDescent="0.15">
      <c r="A501" s="7">
        <v>10.79</v>
      </c>
      <c r="B501" s="44" t="s">
        <v>747</v>
      </c>
      <c r="C501" s="38" t="s">
        <v>812</v>
      </c>
      <c r="D501" s="38" t="s">
        <v>725</v>
      </c>
      <c r="E501" s="42" t="s">
        <v>11</v>
      </c>
      <c r="F501" s="42">
        <v>12</v>
      </c>
      <c r="G501" s="10">
        <v>15</v>
      </c>
      <c r="H501" s="10">
        <f>SUM(F501*G501)</f>
        <v>180</v>
      </c>
    </row>
    <row r="502" spans="1:8" s="15" customFormat="1" x14ac:dyDescent="0.15">
      <c r="A502" s="7"/>
      <c r="B502" s="31"/>
      <c r="C502" s="11"/>
      <c r="D502" s="11"/>
      <c r="E502" s="8"/>
      <c r="F502" s="8"/>
      <c r="G502" s="10"/>
      <c r="H502" s="10"/>
    </row>
    <row r="503" spans="1:8" s="15" customFormat="1" ht="42" x14ac:dyDescent="0.15">
      <c r="A503" s="7">
        <v>10.8</v>
      </c>
      <c r="B503" s="44" t="s">
        <v>747</v>
      </c>
      <c r="C503" s="11" t="s">
        <v>727</v>
      </c>
      <c r="D503" s="11" t="s">
        <v>568</v>
      </c>
      <c r="E503" s="8" t="s">
        <v>10</v>
      </c>
      <c r="F503" s="8">
        <v>1</v>
      </c>
      <c r="G503" s="10">
        <v>75</v>
      </c>
      <c r="H503" s="10">
        <f>SUM(F503*G503)</f>
        <v>75</v>
      </c>
    </row>
    <row r="504" spans="1:8" s="15" customFormat="1" x14ac:dyDescent="0.15">
      <c r="A504" s="7"/>
      <c r="B504" s="31"/>
      <c r="C504" s="11"/>
      <c r="D504" s="11"/>
      <c r="E504" s="8"/>
      <c r="F504" s="8"/>
      <c r="G504" s="10"/>
      <c r="H504" s="10"/>
    </row>
    <row r="505" spans="1:8" s="15" customFormat="1" ht="28" x14ac:dyDescent="0.15">
      <c r="A505" s="7">
        <v>10.81</v>
      </c>
      <c r="B505" s="44" t="s">
        <v>747</v>
      </c>
      <c r="C505" s="15" t="s">
        <v>728</v>
      </c>
      <c r="D505" s="11" t="s">
        <v>813</v>
      </c>
      <c r="E505" s="8" t="s">
        <v>10</v>
      </c>
      <c r="F505" s="8">
        <v>1</v>
      </c>
      <c r="G505" s="10">
        <v>120</v>
      </c>
      <c r="H505" s="10">
        <f>SUM(F505*G505)</f>
        <v>120</v>
      </c>
    </row>
    <row r="506" spans="1:8" s="15" customFormat="1" x14ac:dyDescent="0.15">
      <c r="A506" s="7"/>
      <c r="B506" s="31"/>
      <c r="C506" s="11"/>
      <c r="D506" s="11"/>
      <c r="E506" s="8"/>
      <c r="F506" s="9"/>
      <c r="G506" s="10"/>
      <c r="H506" s="10"/>
    </row>
    <row r="507" spans="1:8" s="15" customFormat="1" ht="14" x14ac:dyDescent="0.15">
      <c r="A507" s="7"/>
      <c r="B507" s="31"/>
      <c r="C507" s="14" t="s">
        <v>827</v>
      </c>
      <c r="D507" s="11"/>
      <c r="E507" s="8"/>
      <c r="F507" s="9"/>
      <c r="G507" s="10"/>
      <c r="H507" s="10"/>
    </row>
    <row r="508" spans="1:8" s="15" customFormat="1" x14ac:dyDescent="0.15">
      <c r="A508" s="7"/>
      <c r="B508" s="31"/>
      <c r="C508" s="14"/>
      <c r="D508" s="11"/>
      <c r="E508" s="8"/>
      <c r="F508" s="9"/>
      <c r="G508" s="10"/>
    </row>
    <row r="509" spans="1:8" s="15" customFormat="1" ht="28" x14ac:dyDescent="0.15">
      <c r="A509" s="7">
        <v>10.82</v>
      </c>
      <c r="B509" s="33" t="s">
        <v>743</v>
      </c>
      <c r="C509" s="11" t="s">
        <v>828</v>
      </c>
      <c r="D509" s="11" t="s">
        <v>833</v>
      </c>
      <c r="E509" s="8"/>
      <c r="F509" s="9"/>
      <c r="G509" s="10"/>
      <c r="H509" s="10" t="s">
        <v>26</v>
      </c>
    </row>
    <row r="510" spans="1:8" s="15" customFormat="1" x14ac:dyDescent="0.15">
      <c r="A510" s="3"/>
      <c r="B510" s="33"/>
      <c r="C510" s="11"/>
      <c r="D510" s="11"/>
      <c r="E510" s="8"/>
      <c r="F510" s="8"/>
      <c r="G510" s="10"/>
      <c r="H510" s="10"/>
    </row>
    <row r="511" spans="1:8" s="15" customFormat="1" ht="28" x14ac:dyDescent="0.15">
      <c r="A511" s="7">
        <v>10.83</v>
      </c>
      <c r="B511" s="33" t="s">
        <v>743</v>
      </c>
      <c r="C511" s="11" t="s">
        <v>829</v>
      </c>
      <c r="D511" s="11" t="s">
        <v>830</v>
      </c>
      <c r="E511" s="8" t="s">
        <v>240</v>
      </c>
      <c r="F511" s="8">
        <v>3</v>
      </c>
      <c r="G511" s="10">
        <v>150</v>
      </c>
      <c r="H511" s="10">
        <f>SUM(F511*G511)</f>
        <v>450</v>
      </c>
    </row>
    <row r="512" spans="1:8" s="15" customFormat="1" x14ac:dyDescent="0.15">
      <c r="A512" s="7"/>
      <c r="B512" s="31"/>
      <c r="C512" s="11"/>
      <c r="D512" s="11"/>
      <c r="E512" s="8"/>
      <c r="F512" s="8"/>
      <c r="G512" s="10"/>
      <c r="H512" s="10"/>
    </row>
    <row r="513" spans="1:8" s="15" customFormat="1" ht="56" x14ac:dyDescent="0.15">
      <c r="A513" s="7">
        <v>10.84</v>
      </c>
      <c r="B513" s="33"/>
      <c r="C513" s="11" t="s">
        <v>831</v>
      </c>
      <c r="D513" s="11" t="s">
        <v>832</v>
      </c>
      <c r="E513" s="8"/>
      <c r="F513" s="8"/>
      <c r="G513" s="10"/>
      <c r="H513" s="10" t="s">
        <v>814</v>
      </c>
    </row>
    <row r="514" spans="1:8" s="15" customFormat="1" x14ac:dyDescent="0.15">
      <c r="A514" s="7"/>
      <c r="B514" s="31"/>
      <c r="C514" s="11"/>
      <c r="D514" s="11"/>
      <c r="E514" s="8"/>
      <c r="F514" s="8"/>
      <c r="G514" s="10"/>
      <c r="H514" s="10"/>
    </row>
    <row r="515" spans="1:8" s="15" customFormat="1" ht="42" x14ac:dyDescent="0.15">
      <c r="A515" s="7">
        <v>10.85</v>
      </c>
      <c r="B515" s="31"/>
      <c r="C515" s="11" t="s">
        <v>834</v>
      </c>
      <c r="D515" s="11" t="s">
        <v>835</v>
      </c>
      <c r="E515" s="8" t="s">
        <v>30</v>
      </c>
      <c r="F515" s="8"/>
      <c r="G515" s="10"/>
      <c r="H515" s="10">
        <v>300</v>
      </c>
    </row>
    <row r="516" spans="1:8" s="15" customFormat="1" x14ac:dyDescent="0.15">
      <c r="A516" s="7"/>
      <c r="B516" s="31"/>
      <c r="C516" s="11"/>
      <c r="D516" s="11"/>
      <c r="E516" s="8"/>
      <c r="F516" s="8"/>
      <c r="G516" s="10"/>
      <c r="H516" s="10"/>
    </row>
    <row r="517" spans="1:8" s="15" customFormat="1" ht="28" x14ac:dyDescent="0.15">
      <c r="A517" s="7">
        <v>10.86</v>
      </c>
      <c r="B517" s="31"/>
      <c r="C517" s="11" t="s">
        <v>836</v>
      </c>
      <c r="D517" s="11" t="s">
        <v>837</v>
      </c>
      <c r="E517" s="8" t="s">
        <v>8</v>
      </c>
      <c r="F517" s="34"/>
      <c r="G517" s="10"/>
      <c r="H517" s="10">
        <v>200</v>
      </c>
    </row>
    <row r="518" spans="1:8" s="15" customFormat="1" x14ac:dyDescent="0.15">
      <c r="A518" s="7"/>
      <c r="B518" s="31"/>
      <c r="C518" s="11"/>
      <c r="D518" s="11"/>
      <c r="E518" s="8"/>
      <c r="F518" s="34"/>
      <c r="G518" s="10"/>
      <c r="H518" s="10"/>
    </row>
    <row r="519" spans="1:8" s="15" customFormat="1" x14ac:dyDescent="0.15">
      <c r="A519" s="7"/>
      <c r="B519" s="31"/>
      <c r="C519" s="11"/>
      <c r="D519" s="11"/>
      <c r="E519" s="8"/>
      <c r="F519" s="34"/>
      <c r="G519" s="10"/>
      <c r="H519" s="10"/>
    </row>
    <row r="520" spans="1:8" s="15" customFormat="1" ht="14" x14ac:dyDescent="0.15">
      <c r="A520" s="7"/>
      <c r="B520" s="31"/>
      <c r="C520" s="1" t="s">
        <v>9</v>
      </c>
      <c r="D520" s="11"/>
      <c r="E520" s="8"/>
      <c r="F520" s="34"/>
      <c r="G520" s="10"/>
      <c r="H520" s="19">
        <f>SUM(H5:H517)</f>
        <v>52068</v>
      </c>
    </row>
    <row r="521" spans="1:8" s="15" customFormat="1" x14ac:dyDescent="0.15">
      <c r="A521" s="7"/>
      <c r="B521" s="31"/>
      <c r="C521" s="11"/>
      <c r="D521" s="11"/>
      <c r="E521" s="8"/>
      <c r="F521" s="8"/>
      <c r="G521" s="10"/>
      <c r="H521" s="10"/>
    </row>
    <row r="522" spans="1:8" s="15" customFormat="1" x14ac:dyDescent="0.15">
      <c r="A522" s="7"/>
      <c r="B522" s="31"/>
      <c r="C522" s="11"/>
      <c r="D522" s="11"/>
      <c r="E522" s="8"/>
      <c r="F522" s="8"/>
      <c r="G522" s="10"/>
      <c r="H522" s="10"/>
    </row>
    <row r="523" spans="1:8" s="15" customFormat="1" x14ac:dyDescent="0.15">
      <c r="A523" s="7"/>
      <c r="B523" s="31"/>
      <c r="C523" s="11"/>
      <c r="D523" s="11"/>
      <c r="E523" s="8"/>
      <c r="F523" s="8"/>
      <c r="G523" s="10"/>
      <c r="H523" s="10"/>
    </row>
    <row r="524" spans="1:8" s="15" customFormat="1" x14ac:dyDescent="0.15">
      <c r="A524" s="7"/>
      <c r="B524" s="31"/>
      <c r="C524" s="11"/>
      <c r="D524" s="11"/>
      <c r="E524" s="8"/>
      <c r="F524" s="8"/>
      <c r="G524" s="10"/>
      <c r="H524" s="10"/>
    </row>
    <row r="525" spans="1:8" s="15" customFormat="1" x14ac:dyDescent="0.15">
      <c r="A525" s="7"/>
      <c r="B525" s="33"/>
      <c r="C525" s="11"/>
      <c r="D525" s="11"/>
      <c r="E525" s="8"/>
      <c r="F525" s="8"/>
      <c r="G525" s="10"/>
      <c r="H525" s="10"/>
    </row>
    <row r="526" spans="1:8" s="15" customFormat="1" x14ac:dyDescent="0.15">
      <c r="A526" s="7"/>
      <c r="B526" s="31"/>
      <c r="C526" s="11"/>
      <c r="D526" s="11"/>
      <c r="E526" s="8"/>
      <c r="F526" s="8"/>
      <c r="G526" s="10"/>
      <c r="H526" s="10"/>
    </row>
    <row r="527" spans="1:8" s="15" customFormat="1" x14ac:dyDescent="0.15">
      <c r="A527" s="7"/>
      <c r="B527" s="33"/>
      <c r="C527" s="11"/>
      <c r="D527" s="11"/>
      <c r="E527" s="8"/>
      <c r="F527" s="8"/>
      <c r="G527" s="10"/>
      <c r="H527" s="10"/>
    </row>
    <row r="528" spans="1:8" s="15" customFormat="1" x14ac:dyDescent="0.15">
      <c r="A528" s="7"/>
      <c r="B528" s="31"/>
      <c r="C528" s="11"/>
      <c r="D528" s="11"/>
      <c r="E528" s="8"/>
      <c r="F528" s="8"/>
      <c r="G528" s="10"/>
      <c r="H528" s="10"/>
    </row>
    <row r="529" spans="1:9" s="15" customFormat="1" x14ac:dyDescent="0.15">
      <c r="A529" s="7"/>
      <c r="B529" s="33"/>
      <c r="C529" s="11"/>
      <c r="D529" s="11"/>
      <c r="E529" s="8"/>
      <c r="F529" s="8"/>
      <c r="G529" s="10"/>
      <c r="H529" s="10"/>
    </row>
    <row r="530" spans="1:9" s="15" customFormat="1" x14ac:dyDescent="0.15">
      <c r="A530" s="7"/>
      <c r="B530" s="31"/>
      <c r="C530" s="11"/>
      <c r="D530" s="11"/>
      <c r="E530" s="8"/>
      <c r="F530" s="8"/>
      <c r="G530" s="10"/>
      <c r="H530" s="10"/>
    </row>
    <row r="531" spans="1:9" s="15" customFormat="1" x14ac:dyDescent="0.15">
      <c r="A531" s="7"/>
      <c r="B531" s="33"/>
      <c r="C531" s="11"/>
      <c r="D531" s="11"/>
      <c r="E531" s="8"/>
      <c r="F531" s="8"/>
      <c r="G531" s="10"/>
      <c r="H531" s="10"/>
    </row>
    <row r="532" spans="1:9" s="15" customFormat="1" x14ac:dyDescent="0.15">
      <c r="A532" s="7"/>
      <c r="B532" s="31"/>
      <c r="C532" s="14"/>
      <c r="D532" s="11"/>
      <c r="E532" s="8"/>
      <c r="F532" s="8"/>
      <c r="G532" s="10"/>
      <c r="H532" s="10"/>
    </row>
    <row r="533" spans="1:9" s="15" customFormat="1" x14ac:dyDescent="0.15">
      <c r="A533" s="7"/>
      <c r="B533" s="33"/>
      <c r="C533" s="14"/>
      <c r="D533" s="11"/>
      <c r="E533" s="8"/>
      <c r="F533" s="8"/>
      <c r="G533" s="10"/>
      <c r="H533" s="10"/>
    </row>
    <row r="534" spans="1:9" s="15" customFormat="1" x14ac:dyDescent="0.15">
      <c r="A534" s="7"/>
      <c r="B534" s="31"/>
      <c r="C534" s="11"/>
      <c r="D534" s="11"/>
      <c r="E534" s="8"/>
      <c r="F534" s="8"/>
      <c r="G534" s="10"/>
      <c r="H534" s="10"/>
    </row>
    <row r="535" spans="1:9" s="15" customFormat="1" x14ac:dyDescent="0.15">
      <c r="A535" s="7"/>
      <c r="B535" s="33"/>
      <c r="C535" s="11"/>
      <c r="D535" s="11"/>
      <c r="E535" s="8"/>
      <c r="F535" s="8"/>
      <c r="G535" s="10"/>
      <c r="H535" s="10"/>
    </row>
    <row r="536" spans="1:9" s="15" customFormat="1" x14ac:dyDescent="0.15">
      <c r="A536" s="7"/>
      <c r="B536" s="31"/>
      <c r="C536" s="14"/>
      <c r="D536" s="11"/>
      <c r="E536" s="8"/>
      <c r="F536" s="8"/>
      <c r="G536" s="10"/>
      <c r="H536" s="10"/>
    </row>
    <row r="537" spans="1:9" s="15" customFormat="1" x14ac:dyDescent="0.15">
      <c r="A537" s="7"/>
      <c r="B537" s="33"/>
      <c r="C537" s="11"/>
      <c r="D537" s="11"/>
      <c r="E537" s="8"/>
      <c r="F537" s="8"/>
      <c r="G537" s="10"/>
      <c r="H537" s="10"/>
    </row>
    <row r="538" spans="1:9" s="15" customFormat="1" x14ac:dyDescent="0.15">
      <c r="A538" s="7"/>
      <c r="B538" s="31"/>
      <c r="C538" s="11"/>
      <c r="D538" s="11"/>
      <c r="E538" s="8"/>
      <c r="F538" s="8"/>
      <c r="G538" s="10"/>
      <c r="H538" s="10"/>
    </row>
    <row r="539" spans="1:9" s="15" customFormat="1" x14ac:dyDescent="0.15">
      <c r="A539" s="7"/>
      <c r="B539" s="33"/>
      <c r="C539" s="11"/>
      <c r="D539" s="11"/>
      <c r="E539" s="8"/>
      <c r="F539" s="8"/>
      <c r="G539" s="10"/>
      <c r="H539" s="10"/>
    </row>
    <row r="540" spans="1:9" s="15" customFormat="1" x14ac:dyDescent="0.15">
      <c r="A540" s="7"/>
      <c r="B540" s="31"/>
      <c r="C540" s="11"/>
      <c r="D540" s="11"/>
      <c r="E540" s="8"/>
      <c r="F540" s="8"/>
      <c r="G540" s="10"/>
      <c r="H540" s="10"/>
      <c r="I540" s="11"/>
    </row>
    <row r="541" spans="1:9" s="15" customFormat="1" x14ac:dyDescent="0.15">
      <c r="A541" s="7"/>
      <c r="B541" s="33"/>
      <c r="C541" s="11"/>
      <c r="D541" s="11"/>
      <c r="E541" s="8"/>
      <c r="F541" s="8"/>
      <c r="G541" s="10"/>
      <c r="H541" s="10"/>
      <c r="I541" s="11"/>
    </row>
    <row r="542" spans="1:9" s="15" customFormat="1" x14ac:dyDescent="0.15">
      <c r="A542" s="7"/>
      <c r="B542" s="31"/>
      <c r="C542" s="14"/>
      <c r="D542" s="11"/>
      <c r="E542" s="8"/>
      <c r="F542" s="8"/>
      <c r="G542" s="10"/>
      <c r="H542" s="10"/>
      <c r="I542" s="11"/>
    </row>
    <row r="543" spans="1:9" s="15" customFormat="1" x14ac:dyDescent="0.15">
      <c r="A543" s="7"/>
      <c r="B543" s="31"/>
      <c r="C543" s="11"/>
      <c r="D543" s="11"/>
      <c r="E543" s="8"/>
      <c r="F543" s="8"/>
      <c r="G543" s="10"/>
      <c r="H543" s="10"/>
      <c r="I543" s="11"/>
    </row>
    <row r="544" spans="1:9" s="15" customFormat="1" x14ac:dyDescent="0.15">
      <c r="A544" s="7"/>
      <c r="B544" s="31"/>
      <c r="C544" s="11"/>
      <c r="D544" s="11"/>
      <c r="E544" s="8"/>
      <c r="F544" s="8"/>
      <c r="G544" s="10"/>
      <c r="H544" s="10"/>
      <c r="I544" s="11"/>
    </row>
    <row r="545" spans="1:9" s="15" customFormat="1" x14ac:dyDescent="0.15">
      <c r="A545" s="7"/>
      <c r="B545" s="31"/>
      <c r="C545" s="11"/>
      <c r="D545" s="11"/>
      <c r="E545" s="8"/>
      <c r="F545" s="9"/>
      <c r="G545" s="10"/>
      <c r="H545" s="10"/>
      <c r="I545" s="11"/>
    </row>
    <row r="546" spans="1:9" s="15" customFormat="1" x14ac:dyDescent="0.15">
      <c r="A546" s="7"/>
      <c r="B546" s="31"/>
      <c r="C546" s="11"/>
      <c r="D546" s="11"/>
      <c r="E546" s="8"/>
      <c r="F546" s="9"/>
      <c r="G546" s="10"/>
      <c r="H546" s="10"/>
      <c r="I546" s="11"/>
    </row>
    <row r="547" spans="1:9" s="15" customFormat="1" x14ac:dyDescent="0.15">
      <c r="A547" s="7"/>
      <c r="B547" s="31"/>
      <c r="C547" s="11"/>
      <c r="D547" s="11"/>
      <c r="E547" s="8"/>
      <c r="F547" s="9"/>
      <c r="G547" s="10"/>
      <c r="H547" s="10"/>
      <c r="I547" s="14"/>
    </row>
    <row r="548" spans="1:9" s="15" customFormat="1" x14ac:dyDescent="0.15">
      <c r="A548" s="7"/>
      <c r="B548" s="31"/>
      <c r="C548" s="11"/>
      <c r="D548" s="11"/>
      <c r="E548" s="8"/>
      <c r="F548" s="9"/>
      <c r="G548" s="10"/>
      <c r="H548" s="10"/>
      <c r="I548" s="11"/>
    </row>
    <row r="549" spans="1:9" s="15" customFormat="1" x14ac:dyDescent="0.15">
      <c r="A549" s="7"/>
      <c r="B549" s="33"/>
      <c r="C549" s="11"/>
      <c r="D549" s="11"/>
      <c r="E549" s="8"/>
      <c r="F549" s="9"/>
      <c r="G549" s="10"/>
      <c r="H549" s="10"/>
      <c r="I549" s="11"/>
    </row>
    <row r="550" spans="1:9" s="15" customFormat="1" x14ac:dyDescent="0.15">
      <c r="A550" s="7"/>
      <c r="B550" s="31"/>
      <c r="C550" s="11"/>
      <c r="D550" s="11"/>
      <c r="E550" s="8"/>
      <c r="F550" s="9"/>
      <c r="G550" s="10"/>
      <c r="H550" s="10"/>
      <c r="I550" s="11"/>
    </row>
    <row r="551" spans="1:9" s="15" customFormat="1" x14ac:dyDescent="0.15">
      <c r="A551" s="7"/>
      <c r="B551" s="33"/>
      <c r="C551" s="11"/>
      <c r="D551" s="11"/>
      <c r="E551" s="8"/>
      <c r="F551" s="8"/>
      <c r="G551" s="10"/>
      <c r="H551" s="10"/>
      <c r="I551" s="11"/>
    </row>
    <row r="552" spans="1:9" s="15" customFormat="1" x14ac:dyDescent="0.15">
      <c r="A552" s="7"/>
      <c r="B552" s="31"/>
      <c r="C552" s="11"/>
      <c r="D552" s="11"/>
      <c r="E552" s="8"/>
      <c r="F552" s="8"/>
      <c r="G552" s="10"/>
      <c r="H552" s="10"/>
      <c r="I552" s="11"/>
    </row>
    <row r="553" spans="1:9" s="15" customFormat="1" x14ac:dyDescent="0.15">
      <c r="A553" s="7"/>
      <c r="B553" s="33"/>
      <c r="C553" s="11"/>
      <c r="D553" s="11"/>
      <c r="E553" s="8"/>
      <c r="F553" s="34"/>
      <c r="G553" s="10"/>
      <c r="H553" s="10"/>
      <c r="I553" s="11"/>
    </row>
    <row r="554" spans="1:9" s="15" customFormat="1" x14ac:dyDescent="0.15">
      <c r="A554" s="7"/>
      <c r="B554" s="31"/>
      <c r="C554" s="11"/>
      <c r="D554" s="11"/>
      <c r="E554" s="8"/>
      <c r="F554" s="34"/>
      <c r="G554" s="10"/>
      <c r="H554" s="36"/>
      <c r="I554" s="11"/>
    </row>
    <row r="555" spans="1:9" s="14" customFormat="1" x14ac:dyDescent="0.15">
      <c r="A555" s="7"/>
      <c r="B555" s="33"/>
      <c r="D555" s="11"/>
      <c r="E555" s="8"/>
      <c r="F555" s="8"/>
      <c r="G555" s="10"/>
      <c r="H555" s="10"/>
      <c r="I555" s="11"/>
    </row>
    <row r="556" spans="1:9" s="14" customFormat="1" x14ac:dyDescent="0.15">
      <c r="A556" s="7"/>
      <c r="B556" s="31"/>
      <c r="C556" s="11"/>
      <c r="D556" s="11"/>
      <c r="E556" s="8"/>
      <c r="F556" s="8"/>
      <c r="G556" s="10"/>
      <c r="H556" s="10"/>
      <c r="I556" s="11"/>
    </row>
    <row r="557" spans="1:9" s="15" customFormat="1" x14ac:dyDescent="0.15">
      <c r="A557" s="7"/>
      <c r="B557" s="33"/>
      <c r="C557" s="11"/>
      <c r="D557" s="11"/>
      <c r="E557" s="8"/>
      <c r="F557" s="8"/>
      <c r="G557" s="10"/>
      <c r="H557" s="10"/>
    </row>
    <row r="558" spans="1:9" s="15" customFormat="1" x14ac:dyDescent="0.15">
      <c r="A558" s="7"/>
      <c r="B558" s="31"/>
      <c r="C558" s="14"/>
      <c r="D558" s="11"/>
      <c r="E558" s="8"/>
      <c r="F558" s="8"/>
      <c r="G558" s="10"/>
      <c r="H558" s="10"/>
    </row>
    <row r="559" spans="1:9" s="15" customFormat="1" x14ac:dyDescent="0.15">
      <c r="A559" s="7"/>
      <c r="B559" s="33"/>
      <c r="C559" s="11"/>
      <c r="D559" s="11"/>
      <c r="E559" s="8"/>
      <c r="F559" s="8"/>
      <c r="G559" s="10"/>
      <c r="H559" s="10"/>
    </row>
    <row r="560" spans="1:9" s="15" customFormat="1" x14ac:dyDescent="0.15">
      <c r="A560" s="7"/>
      <c r="B560" s="31"/>
      <c r="C560" s="11"/>
      <c r="D560" s="11"/>
      <c r="E560" s="8"/>
      <c r="F560" s="8"/>
      <c r="G560" s="10"/>
      <c r="H560" s="10"/>
    </row>
    <row r="561" spans="1:8" s="15" customFormat="1" x14ac:dyDescent="0.15">
      <c r="A561" s="7"/>
      <c r="B561" s="33"/>
      <c r="C561" s="11"/>
      <c r="D561" s="11"/>
      <c r="E561" s="8"/>
      <c r="F561" s="8"/>
      <c r="G561" s="10"/>
      <c r="H561" s="10"/>
    </row>
    <row r="562" spans="1:8" s="15" customFormat="1" x14ac:dyDescent="0.15">
      <c r="A562" s="7"/>
      <c r="B562" s="31"/>
      <c r="C562" s="14"/>
      <c r="D562" s="11"/>
      <c r="E562" s="8"/>
      <c r="F562" s="8"/>
      <c r="G562" s="10"/>
      <c r="H562" s="10"/>
    </row>
    <row r="563" spans="1:8" s="15" customFormat="1" x14ac:dyDescent="0.15">
      <c r="A563" s="7"/>
      <c r="B563" s="33"/>
      <c r="C563" s="11"/>
      <c r="D563" s="11"/>
      <c r="E563" s="8"/>
      <c r="F563" s="8"/>
      <c r="G563" s="10"/>
      <c r="H563" s="10"/>
    </row>
    <row r="564" spans="1:8" s="15" customFormat="1" x14ac:dyDescent="0.15">
      <c r="A564" s="7"/>
      <c r="B564" s="31"/>
      <c r="C564" s="11"/>
      <c r="D564" s="11"/>
      <c r="E564" s="8"/>
      <c r="F564" s="8"/>
      <c r="G564" s="10"/>
      <c r="H564" s="10"/>
    </row>
    <row r="565" spans="1:8" s="15" customFormat="1" x14ac:dyDescent="0.15">
      <c r="A565" s="7"/>
      <c r="B565" s="31"/>
      <c r="C565" s="11"/>
      <c r="D565" s="11"/>
      <c r="E565" s="8"/>
      <c r="F565" s="8"/>
      <c r="G565" s="10"/>
      <c r="H565" s="10"/>
    </row>
    <row r="566" spans="1:8" s="15" customFormat="1" x14ac:dyDescent="0.15">
      <c r="A566" s="7"/>
      <c r="B566" s="31"/>
      <c r="C566" s="11"/>
      <c r="D566" s="11"/>
      <c r="E566" s="8"/>
      <c r="F566" s="8"/>
      <c r="G566" s="10"/>
      <c r="H566" s="10"/>
    </row>
    <row r="567" spans="1:8" s="15" customFormat="1" x14ac:dyDescent="0.15">
      <c r="A567" s="7"/>
      <c r="B567" s="33"/>
      <c r="C567" s="11"/>
      <c r="D567" s="11"/>
      <c r="E567" s="8"/>
      <c r="F567" s="8"/>
      <c r="G567" s="10"/>
      <c r="H567" s="10"/>
    </row>
    <row r="568" spans="1:8" s="15" customFormat="1" x14ac:dyDescent="0.15">
      <c r="A568" s="7"/>
      <c r="B568" s="31"/>
      <c r="C568" s="11"/>
      <c r="D568" s="11"/>
      <c r="E568" s="8"/>
      <c r="F568" s="8"/>
      <c r="G568" s="10"/>
      <c r="H568" s="10"/>
    </row>
    <row r="569" spans="1:8" s="15" customFormat="1" x14ac:dyDescent="0.15">
      <c r="A569" s="7"/>
      <c r="B569" s="31"/>
      <c r="C569" s="11"/>
      <c r="D569" s="11"/>
      <c r="E569" s="8"/>
      <c r="F569" s="9"/>
      <c r="G569" s="10"/>
      <c r="H569" s="10"/>
    </row>
    <row r="570" spans="1:8" s="15" customFormat="1" x14ac:dyDescent="0.15">
      <c r="A570" s="7"/>
      <c r="B570" s="31"/>
      <c r="C570" s="11"/>
      <c r="D570" s="11"/>
      <c r="E570" s="8"/>
      <c r="F570" s="9"/>
      <c r="G570" s="10"/>
      <c r="H570" s="10"/>
    </row>
    <row r="571" spans="1:8" s="15" customFormat="1" x14ac:dyDescent="0.15">
      <c r="A571" s="7"/>
      <c r="B571" s="33"/>
      <c r="C571" s="11"/>
      <c r="D571" s="11"/>
      <c r="E571" s="8"/>
      <c r="F571" s="9"/>
      <c r="G571" s="10"/>
      <c r="H571" s="10"/>
    </row>
    <row r="572" spans="1:8" s="15" customFormat="1" x14ac:dyDescent="0.15">
      <c r="A572" s="7"/>
      <c r="B572" s="33"/>
      <c r="C572" s="11"/>
      <c r="D572" s="11"/>
      <c r="E572" s="8"/>
      <c r="F572" s="9"/>
      <c r="G572" s="10"/>
      <c r="H572" s="10"/>
    </row>
    <row r="573" spans="1:8" s="15" customFormat="1" x14ac:dyDescent="0.15">
      <c r="A573" s="7"/>
      <c r="B573" s="33"/>
      <c r="C573" s="11"/>
      <c r="D573" s="11"/>
      <c r="E573" s="8"/>
      <c r="F573" s="9"/>
      <c r="G573" s="10"/>
      <c r="H573" s="10"/>
    </row>
    <row r="574" spans="1:8" s="15" customFormat="1" x14ac:dyDescent="0.15">
      <c r="A574" s="7"/>
      <c r="B574" s="31"/>
      <c r="C574" s="14"/>
      <c r="D574" s="11"/>
      <c r="E574" s="8"/>
      <c r="F574" s="9"/>
      <c r="G574" s="10"/>
      <c r="H574" s="10"/>
    </row>
    <row r="575" spans="1:8" s="15" customFormat="1" x14ac:dyDescent="0.15">
      <c r="A575" s="7"/>
      <c r="B575" s="31"/>
      <c r="C575" s="14"/>
      <c r="D575" s="11"/>
      <c r="E575" s="8"/>
      <c r="F575" s="34"/>
      <c r="G575" s="10"/>
      <c r="H575" s="36"/>
    </row>
    <row r="576" spans="1:8" s="15" customFormat="1" x14ac:dyDescent="0.15">
      <c r="A576" s="7"/>
      <c r="B576" s="31"/>
      <c r="C576" s="11"/>
      <c r="D576" s="11"/>
      <c r="E576" s="8"/>
      <c r="F576" s="34"/>
      <c r="G576" s="10"/>
      <c r="H576" s="36"/>
    </row>
    <row r="577" spans="1:8" s="15" customFormat="1" x14ac:dyDescent="0.15">
      <c r="A577" s="7"/>
      <c r="B577" s="31"/>
      <c r="C577" s="11"/>
      <c r="D577" s="11"/>
      <c r="E577" s="8"/>
      <c r="F577" s="8"/>
      <c r="G577" s="10"/>
      <c r="H577" s="10"/>
    </row>
    <row r="578" spans="1:8" s="15" customFormat="1" x14ac:dyDescent="0.15">
      <c r="A578" s="7"/>
      <c r="B578" s="31"/>
      <c r="C578" s="14"/>
      <c r="D578" s="11"/>
      <c r="E578" s="8"/>
      <c r="F578" s="8"/>
      <c r="G578" s="10"/>
      <c r="H578" s="10"/>
    </row>
    <row r="579" spans="1:8" s="15" customFormat="1" x14ac:dyDescent="0.15">
      <c r="A579" s="7"/>
      <c r="B579" s="33"/>
      <c r="C579" s="11"/>
      <c r="D579" s="11"/>
      <c r="E579" s="8"/>
      <c r="F579" s="8"/>
      <c r="G579" s="10"/>
      <c r="H579" s="10"/>
    </row>
    <row r="580" spans="1:8" s="15" customFormat="1" x14ac:dyDescent="0.15">
      <c r="A580" s="7"/>
      <c r="B580" s="31"/>
      <c r="C580" s="11"/>
      <c r="D580" s="11"/>
      <c r="E580" s="8"/>
      <c r="F580" s="8"/>
      <c r="G580" s="10"/>
      <c r="H580" s="10"/>
    </row>
    <row r="581" spans="1:8" s="15" customFormat="1" x14ac:dyDescent="0.15">
      <c r="A581" s="7"/>
      <c r="B581" s="33"/>
      <c r="C581" s="11"/>
      <c r="D581" s="11"/>
      <c r="E581" s="8"/>
      <c r="F581" s="8"/>
      <c r="G581" s="10"/>
      <c r="H581" s="10"/>
    </row>
    <row r="582" spans="1:8" s="15" customFormat="1" x14ac:dyDescent="0.15">
      <c r="A582" s="7"/>
      <c r="B582" s="31"/>
      <c r="C582" s="11"/>
      <c r="D582" s="11"/>
      <c r="E582" s="8"/>
      <c r="F582" s="8"/>
      <c r="G582" s="10"/>
      <c r="H582" s="10"/>
    </row>
    <row r="583" spans="1:8" s="15" customFormat="1" x14ac:dyDescent="0.15">
      <c r="A583" s="7"/>
      <c r="B583" s="33"/>
      <c r="C583" s="11"/>
      <c r="D583" s="11"/>
      <c r="E583" s="8"/>
      <c r="F583" s="8"/>
      <c r="G583" s="10"/>
      <c r="H583" s="10"/>
    </row>
    <row r="584" spans="1:8" s="15" customFormat="1" x14ac:dyDescent="0.15">
      <c r="A584" s="7"/>
      <c r="B584" s="31"/>
      <c r="C584" s="14"/>
      <c r="D584" s="11"/>
      <c r="E584" s="8"/>
      <c r="F584" s="8"/>
      <c r="G584" s="10"/>
      <c r="H584" s="10"/>
    </row>
    <row r="585" spans="1:8" s="15" customFormat="1" x14ac:dyDescent="0.15">
      <c r="A585" s="7"/>
      <c r="B585" s="33"/>
      <c r="C585" s="11"/>
      <c r="D585" s="11"/>
      <c r="E585" s="8"/>
      <c r="F585" s="8"/>
      <c r="G585" s="10"/>
      <c r="H585" s="10"/>
    </row>
    <row r="586" spans="1:8" s="15" customFormat="1" x14ac:dyDescent="0.15">
      <c r="A586" s="7"/>
      <c r="B586" s="31"/>
      <c r="C586" s="11"/>
      <c r="D586" s="11"/>
      <c r="E586" s="8"/>
      <c r="F586" s="8"/>
      <c r="G586" s="10"/>
      <c r="H586" s="10"/>
    </row>
    <row r="587" spans="1:8" s="15" customFormat="1" x14ac:dyDescent="0.15">
      <c r="A587" s="7"/>
      <c r="B587" s="31"/>
      <c r="C587" s="11"/>
      <c r="D587" s="11"/>
      <c r="E587" s="8"/>
      <c r="F587" s="8"/>
      <c r="G587" s="10"/>
      <c r="H587" s="10"/>
    </row>
    <row r="588" spans="1:8" s="15" customFormat="1" x14ac:dyDescent="0.15">
      <c r="A588" s="7"/>
      <c r="B588" s="31"/>
      <c r="C588" s="11"/>
      <c r="D588" s="11"/>
      <c r="E588" s="8"/>
      <c r="F588" s="8"/>
      <c r="G588" s="10"/>
      <c r="H588" s="10"/>
    </row>
    <row r="589" spans="1:8" s="15" customFormat="1" x14ac:dyDescent="0.15">
      <c r="A589" s="7"/>
      <c r="B589" s="31"/>
      <c r="C589" s="11"/>
      <c r="D589" s="11"/>
      <c r="E589" s="8"/>
      <c r="F589" s="8"/>
      <c r="G589" s="10"/>
      <c r="H589" s="10"/>
    </row>
    <row r="590" spans="1:8" s="15" customFormat="1" x14ac:dyDescent="0.15">
      <c r="A590" s="7"/>
      <c r="B590" s="31"/>
      <c r="C590" s="11"/>
      <c r="D590" s="11"/>
      <c r="E590" s="8"/>
      <c r="F590" s="8"/>
      <c r="G590" s="10"/>
      <c r="H590" s="10"/>
    </row>
    <row r="591" spans="1:8" s="15" customFormat="1" x14ac:dyDescent="0.15">
      <c r="A591" s="7"/>
      <c r="B591" s="33"/>
      <c r="C591" s="11"/>
      <c r="D591" s="11"/>
      <c r="E591" s="8"/>
      <c r="F591" s="9"/>
      <c r="G591" s="10"/>
      <c r="H591" s="10"/>
    </row>
    <row r="592" spans="1:8" s="15" customFormat="1" x14ac:dyDescent="0.15">
      <c r="A592" s="7"/>
      <c r="B592" s="31"/>
      <c r="C592" s="11"/>
      <c r="D592" s="11"/>
      <c r="E592" s="8"/>
      <c r="F592" s="9"/>
      <c r="G592" s="10"/>
      <c r="H592" s="10"/>
    </row>
    <row r="593" spans="1:8" s="15" customFormat="1" x14ac:dyDescent="0.15">
      <c r="A593" s="7"/>
      <c r="B593" s="33"/>
      <c r="C593" s="11"/>
      <c r="D593" s="11"/>
      <c r="E593" s="8"/>
      <c r="F593" s="11"/>
      <c r="G593" s="40"/>
      <c r="H593" s="10"/>
    </row>
    <row r="594" spans="1:8" s="15" customFormat="1" x14ac:dyDescent="0.15">
      <c r="A594" s="7"/>
      <c r="B594" s="31"/>
      <c r="C594" s="11"/>
      <c r="D594" s="11"/>
      <c r="E594" s="11"/>
      <c r="F594" s="11"/>
      <c r="G594" s="40"/>
      <c r="H594" s="40"/>
    </row>
    <row r="595" spans="1:8" s="15" customFormat="1" x14ac:dyDescent="0.15">
      <c r="A595" s="7"/>
      <c r="B595" s="33"/>
      <c r="C595" s="11"/>
      <c r="D595" s="11"/>
      <c r="E595" s="8"/>
      <c r="F595" s="34"/>
      <c r="G595" s="10"/>
      <c r="H595" s="10"/>
    </row>
    <row r="596" spans="1:8" s="15" customFormat="1" x14ac:dyDescent="0.15">
      <c r="A596" s="7"/>
      <c r="B596" s="31"/>
      <c r="C596" s="11"/>
      <c r="D596" s="11"/>
      <c r="E596" s="8"/>
      <c r="F596" s="34"/>
      <c r="G596" s="10"/>
      <c r="H596" s="10"/>
    </row>
    <row r="597" spans="1:8" s="15" customFormat="1" x14ac:dyDescent="0.15">
      <c r="A597" s="7"/>
      <c r="B597" s="33"/>
      <c r="C597" s="11"/>
      <c r="D597" s="11"/>
      <c r="E597" s="8"/>
      <c r="F597" s="34"/>
      <c r="G597" s="10"/>
      <c r="H597" s="10"/>
    </row>
    <row r="598" spans="1:8" s="15" customFormat="1" x14ac:dyDescent="0.15">
      <c r="A598" s="7"/>
      <c r="B598" s="31"/>
      <c r="C598" s="11"/>
      <c r="D598" s="11"/>
      <c r="E598" s="8"/>
      <c r="F598" s="34"/>
      <c r="G598" s="10"/>
      <c r="H598" s="36"/>
    </row>
    <row r="599" spans="1:8" s="15" customFormat="1" x14ac:dyDescent="0.15">
      <c r="A599" s="7"/>
      <c r="B599" s="33"/>
      <c r="C599" s="14"/>
      <c r="D599" s="11"/>
      <c r="E599" s="8"/>
      <c r="F599" s="8"/>
      <c r="G599" s="10"/>
      <c r="H599" s="10"/>
    </row>
    <row r="600" spans="1:8" s="15" customFormat="1" x14ac:dyDescent="0.15">
      <c r="A600" s="7"/>
      <c r="B600" s="31"/>
      <c r="C600" s="14"/>
      <c r="D600" s="11"/>
      <c r="E600" s="8"/>
      <c r="F600" s="8"/>
      <c r="G600" s="10"/>
      <c r="H600" s="10"/>
    </row>
    <row r="601" spans="1:8" s="15" customFormat="1" x14ac:dyDescent="0.15">
      <c r="A601" s="7"/>
      <c r="B601" s="33"/>
      <c r="C601" s="11"/>
      <c r="D601" s="11"/>
      <c r="E601" s="8"/>
      <c r="F601" s="8"/>
      <c r="G601" s="10"/>
      <c r="H601" s="10"/>
    </row>
    <row r="602" spans="1:8" s="15" customFormat="1" x14ac:dyDescent="0.15">
      <c r="A602" s="7"/>
      <c r="B602" s="31"/>
      <c r="C602" s="11"/>
      <c r="D602" s="11"/>
      <c r="E602" s="8"/>
      <c r="F602" s="8"/>
      <c r="G602" s="10"/>
      <c r="H602" s="10"/>
    </row>
    <row r="603" spans="1:8" s="15" customFormat="1" x14ac:dyDescent="0.15">
      <c r="A603" s="7"/>
      <c r="B603" s="33"/>
      <c r="C603" s="11"/>
      <c r="D603" s="11"/>
      <c r="E603" s="8"/>
      <c r="F603" s="8"/>
      <c r="G603" s="10"/>
      <c r="H603" s="10"/>
    </row>
    <row r="604" spans="1:8" s="15" customFormat="1" x14ac:dyDescent="0.15">
      <c r="A604" s="7"/>
      <c r="B604" s="31"/>
      <c r="C604" s="14"/>
      <c r="D604" s="11"/>
      <c r="E604" s="8"/>
      <c r="F604" s="8"/>
      <c r="G604" s="10"/>
      <c r="H604" s="10"/>
    </row>
    <row r="605" spans="1:8" s="15" customFormat="1" x14ac:dyDescent="0.15">
      <c r="A605" s="7"/>
      <c r="B605" s="33"/>
      <c r="C605" s="11"/>
      <c r="D605" s="11"/>
      <c r="E605" s="8"/>
      <c r="F605" s="8"/>
      <c r="G605" s="10"/>
      <c r="H605" s="10"/>
    </row>
    <row r="606" spans="1:8" s="15" customFormat="1" x14ac:dyDescent="0.15">
      <c r="A606" s="7"/>
      <c r="B606" s="31"/>
      <c r="C606" s="11"/>
      <c r="D606" s="11"/>
      <c r="E606" s="8"/>
      <c r="F606" s="8"/>
      <c r="G606" s="10"/>
      <c r="H606" s="10"/>
    </row>
    <row r="607" spans="1:8" s="15" customFormat="1" x14ac:dyDescent="0.15">
      <c r="A607" s="7"/>
      <c r="B607" s="33"/>
      <c r="C607" s="14"/>
      <c r="D607" s="11"/>
      <c r="E607" s="8"/>
      <c r="F607" s="8"/>
      <c r="G607" s="10"/>
      <c r="H607" s="10"/>
    </row>
    <row r="608" spans="1:8" s="15" customFormat="1" x14ac:dyDescent="0.15">
      <c r="A608" s="7"/>
      <c r="B608" s="31"/>
      <c r="C608" s="11"/>
      <c r="D608" s="11"/>
      <c r="E608" s="8"/>
      <c r="F608" s="8"/>
      <c r="G608" s="10"/>
      <c r="H608" s="10"/>
    </row>
    <row r="609" spans="1:8" s="15" customFormat="1" x14ac:dyDescent="0.15">
      <c r="A609" s="7"/>
      <c r="B609" s="33"/>
      <c r="C609" s="11"/>
      <c r="D609" s="11"/>
      <c r="E609" s="8"/>
      <c r="F609" s="9"/>
      <c r="G609" s="10"/>
      <c r="H609" s="10"/>
    </row>
    <row r="610" spans="1:8" s="15" customFormat="1" x14ac:dyDescent="0.15">
      <c r="A610" s="7"/>
      <c r="B610" s="31"/>
      <c r="C610" s="11"/>
      <c r="D610" s="11"/>
      <c r="E610" s="8"/>
      <c r="F610" s="9"/>
      <c r="G610" s="10"/>
      <c r="H610" s="10"/>
    </row>
    <row r="611" spans="1:8" s="15" customFormat="1" x14ac:dyDescent="0.15">
      <c r="A611" s="7"/>
      <c r="B611" s="31"/>
      <c r="C611" s="11"/>
      <c r="D611" s="11"/>
      <c r="E611" s="8"/>
      <c r="F611" s="9"/>
      <c r="G611" s="10"/>
      <c r="H611" s="10"/>
    </row>
    <row r="612" spans="1:8" s="15" customFormat="1" x14ac:dyDescent="0.15">
      <c r="A612" s="7"/>
      <c r="B612" s="31"/>
      <c r="C612" s="11"/>
      <c r="D612" s="11"/>
      <c r="E612" s="8"/>
      <c r="F612" s="9"/>
      <c r="G612" s="10"/>
      <c r="H612" s="10"/>
    </row>
    <row r="613" spans="1:8" s="15" customFormat="1" x14ac:dyDescent="0.15">
      <c r="A613" s="7"/>
      <c r="B613" s="31"/>
      <c r="C613" s="11"/>
      <c r="D613" s="11"/>
      <c r="E613" s="8"/>
      <c r="F613" s="9"/>
      <c r="G613" s="10"/>
      <c r="H613" s="10"/>
    </row>
    <row r="614" spans="1:8" s="15" customFormat="1" x14ac:dyDescent="0.15">
      <c r="A614" s="7"/>
      <c r="B614" s="31"/>
      <c r="C614" s="14"/>
      <c r="D614" s="11"/>
      <c r="E614" s="8"/>
      <c r="F614" s="9"/>
      <c r="G614" s="10"/>
      <c r="H614" s="10"/>
    </row>
    <row r="615" spans="1:8" s="15" customFormat="1" x14ac:dyDescent="0.15">
      <c r="A615" s="7"/>
      <c r="B615" s="33"/>
      <c r="C615" s="11"/>
      <c r="D615" s="11"/>
      <c r="E615" s="8"/>
      <c r="F615" s="9"/>
      <c r="G615" s="10"/>
      <c r="H615" s="10"/>
    </row>
    <row r="616" spans="1:8" s="15" customFormat="1" x14ac:dyDescent="0.15">
      <c r="A616" s="7"/>
      <c r="B616" s="31"/>
      <c r="C616" s="11"/>
      <c r="D616" s="11"/>
      <c r="E616" s="8"/>
      <c r="F616" s="9"/>
      <c r="G616" s="10"/>
      <c r="H616" s="10"/>
    </row>
    <row r="617" spans="1:8" s="15" customFormat="1" x14ac:dyDescent="0.15">
      <c r="A617" s="7"/>
      <c r="B617" s="33"/>
      <c r="C617" s="11"/>
      <c r="D617" s="11"/>
      <c r="E617" s="8"/>
      <c r="F617" s="8"/>
      <c r="G617" s="10"/>
      <c r="H617" s="10"/>
    </row>
    <row r="618" spans="1:8" s="15" customFormat="1" x14ac:dyDescent="0.15">
      <c r="A618" s="7"/>
      <c r="B618" s="31"/>
      <c r="C618" s="14"/>
      <c r="D618" s="11"/>
      <c r="E618" s="8"/>
      <c r="F618" s="8"/>
      <c r="G618" s="10"/>
      <c r="H618" s="10"/>
    </row>
    <row r="619" spans="1:8" s="15" customFormat="1" x14ac:dyDescent="0.15">
      <c r="A619" s="7"/>
      <c r="B619" s="31"/>
      <c r="C619" s="11"/>
      <c r="D619" s="11"/>
      <c r="E619" s="8"/>
      <c r="F619" s="34"/>
      <c r="G619" s="10"/>
      <c r="H619" s="10"/>
    </row>
    <row r="620" spans="1:8" s="15" customFormat="1" x14ac:dyDescent="0.15">
      <c r="A620" s="7"/>
      <c r="B620" s="31"/>
      <c r="C620" s="11"/>
      <c r="D620" s="11"/>
      <c r="E620" s="8"/>
      <c r="F620" s="34"/>
      <c r="G620" s="10"/>
      <c r="H620" s="36"/>
    </row>
    <row r="621" spans="1:8" s="15" customFormat="1" x14ac:dyDescent="0.15">
      <c r="A621" s="7"/>
      <c r="B621" s="31"/>
      <c r="C621" s="11"/>
      <c r="D621" s="11"/>
      <c r="E621" s="8"/>
      <c r="F621" s="8"/>
      <c r="G621" s="10"/>
      <c r="H621" s="10"/>
    </row>
    <row r="622" spans="1:8" s="15" customFormat="1" x14ac:dyDescent="0.15">
      <c r="A622" s="7"/>
      <c r="B622" s="31"/>
      <c r="C622" s="11"/>
      <c r="D622" s="11"/>
      <c r="E622" s="8"/>
      <c r="F622" s="8"/>
      <c r="G622" s="10"/>
      <c r="H622" s="10"/>
    </row>
    <row r="623" spans="1:8" s="15" customFormat="1" x14ac:dyDescent="0.15">
      <c r="A623" s="7"/>
      <c r="B623" s="33"/>
      <c r="C623" s="11"/>
      <c r="D623" s="11"/>
      <c r="E623" s="8"/>
      <c r="F623" s="8"/>
      <c r="G623" s="10"/>
      <c r="H623" s="10"/>
    </row>
    <row r="624" spans="1:8" s="15" customFormat="1" x14ac:dyDescent="0.15">
      <c r="A624" s="7"/>
      <c r="B624" s="31"/>
      <c r="C624" s="11"/>
      <c r="D624" s="11"/>
      <c r="E624" s="8"/>
      <c r="F624" s="8"/>
      <c r="G624" s="10"/>
      <c r="H624" s="10"/>
    </row>
    <row r="625" spans="1:8" s="15" customFormat="1" x14ac:dyDescent="0.15">
      <c r="A625" s="7"/>
      <c r="B625" s="31"/>
      <c r="C625" s="11"/>
      <c r="D625" s="11"/>
      <c r="E625" s="8"/>
      <c r="F625" s="8"/>
      <c r="G625" s="10"/>
      <c r="H625" s="10"/>
    </row>
    <row r="626" spans="1:8" s="15" customFormat="1" x14ac:dyDescent="0.15">
      <c r="A626" s="7"/>
      <c r="B626" s="31"/>
      <c r="C626" s="11"/>
      <c r="D626" s="11"/>
      <c r="E626" s="8"/>
      <c r="F626" s="8"/>
      <c r="G626" s="10"/>
      <c r="H626" s="10"/>
    </row>
    <row r="627" spans="1:8" s="15" customFormat="1" x14ac:dyDescent="0.15">
      <c r="A627" s="7"/>
      <c r="B627" s="31"/>
      <c r="C627" s="11"/>
      <c r="D627" s="11"/>
      <c r="E627" s="8"/>
      <c r="F627" s="8"/>
      <c r="G627" s="10"/>
      <c r="H627" s="10"/>
    </row>
    <row r="628" spans="1:8" s="15" customFormat="1" x14ac:dyDescent="0.15">
      <c r="A628" s="7"/>
      <c r="B628" s="31"/>
      <c r="C628" s="11"/>
      <c r="D628" s="11"/>
      <c r="E628" s="8"/>
      <c r="F628" s="8"/>
      <c r="G628" s="10"/>
      <c r="H628" s="10"/>
    </row>
    <row r="629" spans="1:8" s="15" customFormat="1" x14ac:dyDescent="0.15">
      <c r="A629" s="7"/>
      <c r="B629" s="31"/>
      <c r="C629" s="11"/>
      <c r="D629" s="11"/>
      <c r="E629" s="8"/>
      <c r="F629" s="8"/>
      <c r="G629" s="10"/>
      <c r="H629" s="10"/>
    </row>
    <row r="630" spans="1:8" s="15" customFormat="1" x14ac:dyDescent="0.15">
      <c r="A630" s="7"/>
      <c r="B630" s="31"/>
      <c r="C630" s="11"/>
      <c r="D630" s="11"/>
      <c r="E630" s="8"/>
      <c r="F630" s="8"/>
      <c r="G630" s="10"/>
      <c r="H630" s="10"/>
    </row>
    <row r="631" spans="1:8" s="15" customFormat="1" x14ac:dyDescent="0.15">
      <c r="A631" s="7"/>
      <c r="B631" s="31"/>
      <c r="C631" s="11"/>
      <c r="D631" s="11"/>
      <c r="E631" s="8"/>
      <c r="F631" s="8"/>
      <c r="G631" s="10"/>
      <c r="H631" s="10"/>
    </row>
    <row r="632" spans="1:8" s="15" customFormat="1" x14ac:dyDescent="0.15">
      <c r="A632" s="7"/>
      <c r="B632" s="31"/>
      <c r="C632" s="1"/>
      <c r="D632" s="11"/>
      <c r="E632" s="8"/>
      <c r="F632" s="9"/>
      <c r="G632" s="10"/>
      <c r="H632" s="19"/>
    </row>
    <row r="633" spans="1:8" s="15" customFormat="1" x14ac:dyDescent="0.15">
      <c r="A633" s="7"/>
      <c r="B633" s="31"/>
      <c r="C633" s="14"/>
      <c r="D633" s="11"/>
      <c r="E633" s="8"/>
      <c r="F633" s="9"/>
      <c r="G633" s="10"/>
      <c r="H633" s="19"/>
    </row>
    <row r="634" spans="1:8" s="15" customFormat="1" x14ac:dyDescent="0.15">
      <c r="A634" s="7"/>
      <c r="B634" s="31"/>
      <c r="C634" s="11"/>
      <c r="D634" s="11"/>
      <c r="E634" s="8"/>
      <c r="F634" s="9"/>
      <c r="G634" s="10"/>
      <c r="H634" s="10"/>
    </row>
    <row r="635" spans="1:8" s="15" customFormat="1" x14ac:dyDescent="0.15">
      <c r="A635" s="7"/>
      <c r="B635" s="31"/>
      <c r="C635" s="11"/>
      <c r="D635" s="11"/>
      <c r="E635" s="8"/>
      <c r="F635" s="9"/>
      <c r="G635" s="10"/>
      <c r="H635" s="10"/>
    </row>
    <row r="636" spans="1:8" s="15" customFormat="1" x14ac:dyDescent="0.15">
      <c r="A636" s="7"/>
      <c r="B636" s="31"/>
      <c r="C636" s="11"/>
      <c r="D636" s="11"/>
      <c r="E636" s="8"/>
      <c r="F636" s="9"/>
      <c r="G636" s="10"/>
      <c r="H636" s="10"/>
    </row>
    <row r="637" spans="1:8" s="15" customFormat="1" x14ac:dyDescent="0.15">
      <c r="A637" s="7"/>
      <c r="B637" s="31"/>
      <c r="C637" s="11"/>
      <c r="D637" s="11"/>
      <c r="E637" s="8"/>
      <c r="F637" s="9"/>
      <c r="G637" s="10"/>
      <c r="H637" s="10"/>
    </row>
    <row r="638" spans="1:8" s="15" customFormat="1" x14ac:dyDescent="0.15">
      <c r="A638" s="7"/>
      <c r="B638" s="31"/>
      <c r="C638" s="11"/>
      <c r="D638" s="11"/>
      <c r="E638" s="8"/>
      <c r="F638" s="9"/>
      <c r="G638" s="10"/>
      <c r="H638" s="10"/>
    </row>
    <row r="639" spans="1:8" s="15" customFormat="1" x14ac:dyDescent="0.15">
      <c r="A639" s="7"/>
      <c r="B639" s="31"/>
      <c r="C639" s="11"/>
      <c r="D639" s="11"/>
      <c r="E639" s="8"/>
      <c r="F639" s="9"/>
      <c r="G639" s="10"/>
      <c r="H639" s="10"/>
    </row>
    <row r="640" spans="1:8" s="15" customFormat="1" x14ac:dyDescent="0.15">
      <c r="A640" s="7"/>
      <c r="B640" s="31"/>
      <c r="C640" s="11"/>
      <c r="D640" s="11"/>
      <c r="E640" s="8"/>
      <c r="F640" s="9"/>
      <c r="G640" s="10"/>
      <c r="H640" s="10"/>
    </row>
    <row r="641" spans="1:8" s="15" customFormat="1" x14ac:dyDescent="0.15">
      <c r="A641" s="7"/>
      <c r="B641" s="31"/>
      <c r="C641" s="11"/>
      <c r="D641" s="11"/>
      <c r="E641" s="8"/>
      <c r="F641" s="9"/>
      <c r="G641" s="10"/>
      <c r="H641" s="10"/>
    </row>
    <row r="642" spans="1:8" s="15" customFormat="1" x14ac:dyDescent="0.15">
      <c r="A642" s="7"/>
      <c r="B642" s="31"/>
      <c r="C642" s="11"/>
      <c r="D642" s="11"/>
      <c r="E642" s="8"/>
      <c r="F642" s="9"/>
      <c r="G642" s="10"/>
      <c r="H642" s="10"/>
    </row>
    <row r="643" spans="1:8" s="15" customFormat="1" x14ac:dyDescent="0.15">
      <c r="A643" s="7"/>
      <c r="B643" s="31"/>
      <c r="C643" s="11"/>
      <c r="D643" s="11"/>
      <c r="E643" s="8"/>
      <c r="F643" s="9"/>
      <c r="G643" s="10"/>
      <c r="H643" s="10"/>
    </row>
    <row r="644" spans="1:8" s="15" customFormat="1" x14ac:dyDescent="0.15">
      <c r="A644" s="7"/>
      <c r="B644" s="31"/>
      <c r="C644" s="11"/>
      <c r="D644" s="11"/>
      <c r="E644" s="8"/>
      <c r="F644" s="9"/>
      <c r="G644" s="10"/>
      <c r="H644" s="10"/>
    </row>
    <row r="645" spans="1:8" s="15" customFormat="1" x14ac:dyDescent="0.15">
      <c r="A645" s="7"/>
      <c r="B645" s="31"/>
      <c r="C645" s="11"/>
      <c r="D645" s="11"/>
      <c r="E645" s="8"/>
      <c r="F645" s="9"/>
      <c r="G645" s="10"/>
      <c r="H645" s="10"/>
    </row>
    <row r="646" spans="1:8" s="15" customFormat="1" x14ac:dyDescent="0.15">
      <c r="A646" s="7"/>
      <c r="B646" s="31"/>
      <c r="C646" s="11"/>
      <c r="D646" s="11"/>
      <c r="E646" s="8"/>
      <c r="F646" s="9"/>
      <c r="G646" s="10"/>
      <c r="H646" s="10"/>
    </row>
    <row r="647" spans="1:8" s="15" customFormat="1" x14ac:dyDescent="0.15">
      <c r="A647" s="7"/>
      <c r="B647" s="31"/>
      <c r="C647" s="11"/>
      <c r="D647" s="11"/>
      <c r="E647" s="8"/>
      <c r="F647" s="9"/>
      <c r="G647" s="10"/>
      <c r="H647" s="10"/>
    </row>
    <row r="648" spans="1:8" s="15" customFormat="1" x14ac:dyDescent="0.15">
      <c r="A648" s="7"/>
      <c r="B648" s="31"/>
      <c r="C648" s="11"/>
      <c r="D648" s="11"/>
      <c r="E648" s="8"/>
      <c r="F648" s="9"/>
      <c r="G648" s="10"/>
      <c r="H648" s="10"/>
    </row>
    <row r="649" spans="1:8" s="15" customFormat="1" x14ac:dyDescent="0.15">
      <c r="A649" s="7"/>
      <c r="B649" s="31"/>
      <c r="C649" s="11"/>
      <c r="D649" s="11"/>
      <c r="E649" s="8"/>
      <c r="F649" s="9"/>
      <c r="G649" s="10"/>
      <c r="H649" s="10"/>
    </row>
    <row r="650" spans="1:8" s="15" customFormat="1" x14ac:dyDescent="0.15">
      <c r="A650" s="7"/>
      <c r="B650" s="31"/>
      <c r="C650" s="11"/>
      <c r="D650" s="11"/>
      <c r="E650" s="8"/>
      <c r="F650" s="9"/>
      <c r="G650" s="10"/>
      <c r="H650" s="10"/>
    </row>
    <row r="651" spans="1:8" s="15" customFormat="1" x14ac:dyDescent="0.15">
      <c r="A651" s="7"/>
      <c r="B651" s="31"/>
      <c r="C651" s="11"/>
      <c r="D651" s="5"/>
      <c r="E651" s="8"/>
      <c r="F651" s="9"/>
      <c r="G651" s="10"/>
      <c r="H651" s="10"/>
    </row>
    <row r="652" spans="1:8" s="15" customFormat="1" x14ac:dyDescent="0.15">
      <c r="A652" s="7"/>
      <c r="B652" s="31"/>
      <c r="C652" s="11"/>
      <c r="D652" s="5"/>
      <c r="E652" s="8"/>
      <c r="F652" s="9"/>
      <c r="G652" s="10"/>
      <c r="H652" s="10"/>
    </row>
    <row r="653" spans="1:8" s="15" customFormat="1" x14ac:dyDescent="0.15">
      <c r="A653" s="7"/>
      <c r="B653" s="31"/>
      <c r="C653" s="11"/>
      <c r="D653" s="5"/>
      <c r="E653" s="8"/>
      <c r="F653" s="9"/>
      <c r="G653" s="10"/>
      <c r="H653" s="10"/>
    </row>
    <row r="654" spans="1:8" s="15" customFormat="1" x14ac:dyDescent="0.15">
      <c r="A654" s="7"/>
      <c r="B654" s="31"/>
      <c r="C654" s="5"/>
      <c r="D654" s="5"/>
      <c r="E654" s="8"/>
      <c r="F654" s="9"/>
      <c r="G654" s="10"/>
      <c r="H654" s="10"/>
    </row>
    <row r="655" spans="1:8" s="15" customFormat="1" x14ac:dyDescent="0.15">
      <c r="A655" s="7"/>
      <c r="B655" s="31"/>
      <c r="C655" s="5"/>
      <c r="D655" s="5"/>
      <c r="E655" s="8"/>
      <c r="F655" s="9"/>
      <c r="G655" s="10"/>
      <c r="H655" s="10"/>
    </row>
    <row r="656" spans="1:8" s="15" customFormat="1" x14ac:dyDescent="0.15">
      <c r="A656" s="7"/>
      <c r="B656" s="31"/>
      <c r="C656" s="5"/>
      <c r="D656" s="5"/>
      <c r="E656" s="8"/>
      <c r="F656" s="9"/>
      <c r="G656" s="10"/>
      <c r="H656" s="10"/>
    </row>
    <row r="657" spans="1:8" s="15" customFormat="1" x14ac:dyDescent="0.15">
      <c r="A657" s="7"/>
      <c r="B657" s="31"/>
      <c r="C657" s="5"/>
      <c r="D657" s="5"/>
      <c r="E657" s="8"/>
      <c r="F657" s="9"/>
      <c r="G657" s="10"/>
      <c r="H657" s="10"/>
    </row>
    <row r="658" spans="1:8" s="15" customFormat="1" x14ac:dyDescent="0.15">
      <c r="A658" s="7"/>
      <c r="B658" s="31"/>
      <c r="C658" s="5"/>
      <c r="D658" s="5"/>
      <c r="E658" s="8"/>
      <c r="F658" s="9"/>
      <c r="G658" s="10"/>
      <c r="H658" s="10"/>
    </row>
    <row r="659" spans="1:8" s="15" customFormat="1" x14ac:dyDescent="0.15">
      <c r="A659" s="7"/>
      <c r="B659" s="31"/>
      <c r="C659" s="5"/>
      <c r="D659" s="5"/>
      <c r="E659" s="8"/>
      <c r="F659" s="9"/>
      <c r="G659" s="10"/>
      <c r="H659" s="10"/>
    </row>
    <row r="660" spans="1:8" s="15" customFormat="1" x14ac:dyDescent="0.15">
      <c r="A660" s="7"/>
      <c r="B660" s="31"/>
      <c r="C660" s="5"/>
      <c r="D660" s="5"/>
      <c r="E660" s="8"/>
      <c r="F660" s="9"/>
      <c r="G660" s="10"/>
      <c r="H660" s="10"/>
    </row>
    <row r="661" spans="1:8" s="15" customFormat="1" x14ac:dyDescent="0.15">
      <c r="A661" s="7"/>
      <c r="B661" s="4"/>
      <c r="C661" s="5"/>
      <c r="D661" s="5"/>
      <c r="E661" s="8"/>
      <c r="F661" s="9"/>
      <c r="G661" s="10"/>
      <c r="H661" s="10"/>
    </row>
    <row r="662" spans="1:8" s="15" customFormat="1" x14ac:dyDescent="0.15">
      <c r="A662" s="7"/>
      <c r="B662" s="4"/>
      <c r="C662" s="5"/>
      <c r="D662" s="5"/>
      <c r="E662" s="8"/>
      <c r="F662" s="9"/>
      <c r="G662" s="10"/>
      <c r="H662" s="10"/>
    </row>
    <row r="663" spans="1:8" s="15" customFormat="1" x14ac:dyDescent="0.15">
      <c r="A663" s="7"/>
      <c r="B663" s="4"/>
      <c r="C663" s="5"/>
      <c r="D663" s="5"/>
      <c r="E663" s="8"/>
      <c r="F663" s="9"/>
      <c r="G663" s="10"/>
      <c r="H663" s="10"/>
    </row>
    <row r="664" spans="1:8" s="15" customFormat="1" x14ac:dyDescent="0.15">
      <c r="A664" s="7"/>
      <c r="B664" s="4"/>
      <c r="C664" s="5"/>
      <c r="D664" s="5"/>
      <c r="E664" s="8"/>
      <c r="F664" s="9"/>
      <c r="G664" s="10"/>
      <c r="H664" s="10"/>
    </row>
    <row r="665" spans="1:8" s="15" customFormat="1" x14ac:dyDescent="0.15">
      <c r="A665" s="7"/>
      <c r="B665" s="4"/>
      <c r="C665" s="5"/>
      <c r="D665" s="5"/>
      <c r="E665" s="8"/>
      <c r="F665" s="9"/>
      <c r="G665" s="10"/>
      <c r="H665" s="20"/>
    </row>
    <row r="666" spans="1:8" s="15" customFormat="1" x14ac:dyDescent="0.15">
      <c r="A666" s="7"/>
      <c r="B666" s="4"/>
      <c r="C666" s="5"/>
      <c r="D666" s="5"/>
      <c r="E666" s="8"/>
      <c r="F666" s="9"/>
      <c r="G666" s="10"/>
      <c r="H666" s="20"/>
    </row>
    <row r="667" spans="1:8" s="15" customFormat="1" x14ac:dyDescent="0.15">
      <c r="A667" s="7"/>
      <c r="B667" s="4"/>
      <c r="C667" s="5"/>
      <c r="D667" s="5"/>
      <c r="E667" s="8"/>
      <c r="F667" s="9"/>
      <c r="G667" s="10"/>
      <c r="H667" s="20"/>
    </row>
    <row r="668" spans="1:8" s="15" customFormat="1" x14ac:dyDescent="0.15">
      <c r="A668" s="7"/>
      <c r="B668" s="4"/>
      <c r="C668" s="5"/>
      <c r="D668" s="5"/>
      <c r="E668" s="8"/>
      <c r="F668" s="9"/>
      <c r="G668" s="10"/>
      <c r="H668" s="20"/>
    </row>
    <row r="669" spans="1:8" s="15" customFormat="1" x14ac:dyDescent="0.15">
      <c r="A669" s="7"/>
      <c r="B669" s="4"/>
      <c r="C669" s="5"/>
      <c r="D669" s="5"/>
      <c r="E669" s="8"/>
      <c r="F669" s="9"/>
      <c r="G669" s="10"/>
      <c r="H669" s="20"/>
    </row>
    <row r="670" spans="1:8" s="15" customFormat="1" x14ac:dyDescent="0.15">
      <c r="A670" s="7"/>
      <c r="B670" s="4"/>
      <c r="C670" s="5"/>
      <c r="D670" s="5"/>
      <c r="E670" s="8"/>
      <c r="F670" s="9"/>
      <c r="G670" s="10"/>
      <c r="H670" s="20"/>
    </row>
    <row r="671" spans="1:8" s="15" customFormat="1" x14ac:dyDescent="0.15">
      <c r="A671" s="7"/>
      <c r="B671" s="4"/>
      <c r="C671" s="5"/>
      <c r="D671" s="5"/>
      <c r="E671" s="8"/>
      <c r="F671" s="9"/>
      <c r="G671" s="10"/>
      <c r="H671" s="20"/>
    </row>
    <row r="672" spans="1:8" s="15" customFormat="1" x14ac:dyDescent="0.15">
      <c r="A672" s="7"/>
      <c r="B672" s="4"/>
      <c r="C672" s="5"/>
      <c r="D672" s="5"/>
      <c r="E672" s="8"/>
      <c r="F672" s="9"/>
      <c r="G672" s="10"/>
      <c r="H672" s="20"/>
    </row>
    <row r="673" spans="1:9" s="15" customFormat="1" x14ac:dyDescent="0.15">
      <c r="A673" s="7"/>
      <c r="B673" s="4"/>
      <c r="C673" s="5"/>
      <c r="D673" s="5"/>
      <c r="E673" s="8"/>
      <c r="F673" s="9"/>
      <c r="G673" s="10"/>
      <c r="H673" s="20"/>
    </row>
    <row r="674" spans="1:9" s="15" customFormat="1" x14ac:dyDescent="0.15">
      <c r="A674" s="7"/>
      <c r="B674" s="4"/>
      <c r="C674" s="5"/>
      <c r="D674" s="5"/>
      <c r="E674" s="8"/>
      <c r="F674" s="9"/>
      <c r="G674" s="10"/>
      <c r="H674" s="20"/>
    </row>
    <row r="675" spans="1:9" s="15" customFormat="1" x14ac:dyDescent="0.15">
      <c r="A675" s="7"/>
      <c r="B675" s="4"/>
      <c r="C675" s="5"/>
      <c r="D675" s="5"/>
      <c r="E675" s="8"/>
      <c r="F675" s="9"/>
      <c r="G675" s="10"/>
      <c r="H675" s="20"/>
    </row>
    <row r="676" spans="1:9" s="15" customFormat="1" x14ac:dyDescent="0.15">
      <c r="A676" s="7"/>
      <c r="B676" s="4"/>
      <c r="C676" s="5"/>
      <c r="D676" s="5"/>
      <c r="E676" s="8"/>
      <c r="F676" s="9"/>
      <c r="G676" s="10"/>
      <c r="H676" s="20"/>
    </row>
    <row r="677" spans="1:9" s="15" customFormat="1" x14ac:dyDescent="0.15">
      <c r="A677" s="7"/>
      <c r="B677" s="4"/>
      <c r="C677" s="5"/>
      <c r="D677" s="5"/>
      <c r="E677" s="8"/>
      <c r="F677" s="9"/>
      <c r="G677" s="10"/>
      <c r="H677" s="20"/>
    </row>
    <row r="678" spans="1:9" s="15" customFormat="1" x14ac:dyDescent="0.15">
      <c r="A678" s="7"/>
      <c r="B678" s="4"/>
      <c r="C678" s="5"/>
      <c r="D678" s="5"/>
      <c r="E678" s="8"/>
      <c r="F678" s="9"/>
      <c r="G678" s="10"/>
      <c r="H678" s="20"/>
    </row>
    <row r="679" spans="1:9" s="15" customFormat="1" x14ac:dyDescent="0.15">
      <c r="A679" s="7"/>
      <c r="B679" s="4"/>
      <c r="C679" s="5"/>
      <c r="D679" s="5"/>
      <c r="E679" s="8"/>
      <c r="F679" s="9"/>
      <c r="G679" s="10"/>
      <c r="H679" s="20"/>
    </row>
    <row r="680" spans="1:9" s="15" customFormat="1" x14ac:dyDescent="0.15">
      <c r="A680" s="7"/>
      <c r="B680" s="4"/>
      <c r="C680" s="5"/>
      <c r="D680" s="5"/>
      <c r="E680" s="8"/>
      <c r="F680" s="9"/>
      <c r="G680" s="10"/>
      <c r="H680" s="20"/>
    </row>
    <row r="681" spans="1:9" s="15" customFormat="1" x14ac:dyDescent="0.15">
      <c r="A681" s="7"/>
      <c r="B681" s="4"/>
      <c r="C681" s="5"/>
      <c r="D681" s="5"/>
      <c r="E681" s="8"/>
      <c r="F681" s="9"/>
      <c r="G681" s="10"/>
      <c r="H681" s="20"/>
    </row>
    <row r="682" spans="1:9" s="15" customFormat="1" x14ac:dyDescent="0.15">
      <c r="A682" s="7"/>
      <c r="B682" s="4"/>
      <c r="C682" s="5"/>
      <c r="D682" s="5"/>
      <c r="E682" s="8"/>
      <c r="F682" s="9"/>
      <c r="G682" s="10"/>
      <c r="H682" s="20"/>
    </row>
    <row r="683" spans="1:9" s="15" customFormat="1" x14ac:dyDescent="0.15">
      <c r="A683" s="7"/>
      <c r="B683" s="4"/>
      <c r="C683" s="5"/>
      <c r="D683" s="5"/>
      <c r="E683" s="8"/>
      <c r="F683" s="9"/>
      <c r="G683" s="10"/>
      <c r="H683" s="20"/>
    </row>
    <row r="684" spans="1:9" s="15" customFormat="1" x14ac:dyDescent="0.15">
      <c r="A684" s="7"/>
      <c r="B684" s="4"/>
      <c r="C684" s="5"/>
      <c r="D684" s="5"/>
      <c r="E684" s="8"/>
      <c r="F684" s="9"/>
      <c r="G684" s="10"/>
      <c r="H684" s="20"/>
    </row>
    <row r="685" spans="1:9" s="15" customFormat="1" x14ac:dyDescent="0.15">
      <c r="A685" s="7"/>
      <c r="B685" s="4"/>
      <c r="C685" s="5"/>
      <c r="D685" s="5"/>
      <c r="E685" s="8"/>
      <c r="F685" s="9"/>
      <c r="G685" s="10"/>
      <c r="H685" s="20"/>
    </row>
    <row r="686" spans="1:9" s="15" customFormat="1" x14ac:dyDescent="0.15">
      <c r="A686" s="7"/>
      <c r="B686" s="4"/>
      <c r="C686" s="5"/>
      <c r="D686" s="5"/>
      <c r="E686" s="8"/>
      <c r="F686" s="9"/>
      <c r="G686" s="10"/>
      <c r="H686" s="20"/>
    </row>
    <row r="687" spans="1:9" s="15" customFormat="1" x14ac:dyDescent="0.15">
      <c r="A687" s="7"/>
      <c r="B687" s="4"/>
      <c r="C687" s="5"/>
      <c r="D687" s="5"/>
      <c r="E687" s="8"/>
      <c r="F687" s="9"/>
      <c r="G687" s="10"/>
      <c r="H687" s="20"/>
      <c r="I687" s="11"/>
    </row>
    <row r="688" spans="1:9" s="15" customFormat="1" x14ac:dyDescent="0.15">
      <c r="A688" s="7"/>
      <c r="B688" s="4"/>
      <c r="C688" s="5"/>
      <c r="D688" s="5"/>
      <c r="E688" s="8"/>
      <c r="F688" s="9"/>
      <c r="G688" s="10"/>
      <c r="H688" s="20"/>
      <c r="I688" s="11"/>
    </row>
    <row r="689" spans="1:9" s="15" customFormat="1" x14ac:dyDescent="0.15">
      <c r="A689" s="7"/>
      <c r="B689" s="4"/>
      <c r="C689" s="5"/>
      <c r="D689" s="5"/>
      <c r="E689" s="8"/>
      <c r="F689" s="9"/>
      <c r="G689" s="10"/>
      <c r="H689" s="20"/>
      <c r="I689" s="11"/>
    </row>
    <row r="690" spans="1:9" s="15" customFormat="1" x14ac:dyDescent="0.15">
      <c r="A690" s="7"/>
      <c r="B690" s="4"/>
      <c r="C690" s="5"/>
      <c r="D690" s="5"/>
      <c r="E690" s="8"/>
      <c r="F690" s="9"/>
      <c r="G690" s="10"/>
      <c r="H690" s="20"/>
      <c r="I690" s="11"/>
    </row>
    <row r="691" spans="1:9" s="15" customFormat="1" x14ac:dyDescent="0.15">
      <c r="A691" s="7"/>
      <c r="B691" s="4"/>
      <c r="C691" s="5"/>
      <c r="D691" s="5"/>
      <c r="E691" s="8"/>
      <c r="F691" s="9"/>
      <c r="G691" s="10"/>
      <c r="H691" s="20"/>
      <c r="I691" s="11"/>
    </row>
    <row r="692" spans="1:9" s="15" customFormat="1" x14ac:dyDescent="0.15">
      <c r="A692" s="7"/>
      <c r="B692" s="4"/>
      <c r="C692" s="5"/>
      <c r="D692" s="5"/>
      <c r="E692" s="8"/>
      <c r="F692" s="9"/>
      <c r="G692" s="10"/>
      <c r="H692" s="20"/>
      <c r="I692" s="5"/>
    </row>
    <row r="693" spans="1:9" s="15" customFormat="1" x14ac:dyDescent="0.15">
      <c r="A693" s="7"/>
      <c r="B693" s="4"/>
      <c r="C693" s="5"/>
      <c r="D693" s="5"/>
      <c r="E693" s="8"/>
      <c r="F693" s="9"/>
      <c r="G693" s="10"/>
      <c r="H693" s="20"/>
      <c r="I693" s="5"/>
    </row>
    <row r="694" spans="1:9" s="15" customFormat="1" x14ac:dyDescent="0.15">
      <c r="A694" s="7"/>
      <c r="B694" s="4"/>
      <c r="C694" s="5"/>
      <c r="D694" s="5"/>
      <c r="E694" s="8"/>
      <c r="F694" s="9"/>
      <c r="G694" s="10"/>
      <c r="H694" s="20"/>
      <c r="I694" s="5"/>
    </row>
    <row r="695" spans="1:9" s="15" customFormat="1" x14ac:dyDescent="0.15">
      <c r="A695" s="7"/>
      <c r="B695" s="4"/>
      <c r="C695" s="5"/>
      <c r="D695" s="5"/>
      <c r="E695" s="8"/>
      <c r="F695" s="9"/>
      <c r="G695" s="10"/>
      <c r="H695" s="20"/>
      <c r="I695" s="5"/>
    </row>
    <row r="696" spans="1:9" s="15" customFormat="1" x14ac:dyDescent="0.15">
      <c r="A696" s="7"/>
      <c r="B696" s="4"/>
      <c r="C696" s="5"/>
      <c r="D696" s="5"/>
      <c r="E696" s="8"/>
      <c r="F696" s="9"/>
      <c r="G696" s="10"/>
      <c r="H696" s="20"/>
      <c r="I696" s="5"/>
    </row>
    <row r="697" spans="1:9" s="15" customFormat="1" x14ac:dyDescent="0.15">
      <c r="A697" s="7"/>
      <c r="B697" s="4"/>
      <c r="C697" s="5"/>
      <c r="D697" s="5"/>
      <c r="E697" s="8"/>
      <c r="F697" s="9"/>
      <c r="G697" s="10"/>
      <c r="H697" s="20"/>
      <c r="I697" s="5"/>
    </row>
    <row r="698" spans="1:9" s="15" customFormat="1" x14ac:dyDescent="0.15">
      <c r="A698" s="7"/>
      <c r="B698" s="4"/>
      <c r="C698" s="5"/>
      <c r="D698" s="5"/>
      <c r="E698" s="8"/>
      <c r="F698" s="9"/>
      <c r="G698" s="10"/>
      <c r="H698" s="20"/>
      <c r="I698" s="5"/>
    </row>
    <row r="699" spans="1:9" s="15" customFormat="1" x14ac:dyDescent="0.15">
      <c r="A699" s="7"/>
      <c r="B699" s="4"/>
      <c r="C699" s="5"/>
      <c r="D699" s="5"/>
      <c r="E699" s="8"/>
      <c r="F699" s="9"/>
      <c r="G699" s="10"/>
      <c r="H699" s="20"/>
      <c r="I699" s="5"/>
    </row>
    <row r="700" spans="1:9" s="15" customFormat="1" x14ac:dyDescent="0.15">
      <c r="A700" s="7"/>
      <c r="B700" s="4"/>
      <c r="C700" s="5"/>
      <c r="D700" s="5"/>
      <c r="E700" s="8"/>
      <c r="F700" s="9"/>
      <c r="G700" s="10"/>
      <c r="H700" s="20"/>
      <c r="I700" s="5"/>
    </row>
    <row r="744" spans="2:8" x14ac:dyDescent="0.15">
      <c r="B744" s="31"/>
    </row>
    <row r="748" spans="2:8" x14ac:dyDescent="0.15">
      <c r="H748" s="10"/>
    </row>
    <row r="775" spans="1:9" x14ac:dyDescent="0.15">
      <c r="I775" s="1"/>
    </row>
    <row r="776" spans="1:9" x14ac:dyDescent="0.15">
      <c r="B776" s="31"/>
    </row>
    <row r="777" spans="1:9" x14ac:dyDescent="0.15">
      <c r="B777" s="31"/>
    </row>
    <row r="780" spans="1:9" x14ac:dyDescent="0.15">
      <c r="H780" s="10"/>
    </row>
    <row r="781" spans="1:9" x14ac:dyDescent="0.15">
      <c r="H781" s="10"/>
    </row>
    <row r="783" spans="1:9" x14ac:dyDescent="0.15">
      <c r="B783" s="31"/>
    </row>
    <row r="784" spans="1:9" s="1" customFormat="1" x14ac:dyDescent="0.15">
      <c r="A784" s="7"/>
      <c r="B784" s="31"/>
      <c r="C784" s="5"/>
      <c r="D784" s="5"/>
      <c r="E784" s="8"/>
      <c r="F784" s="9"/>
      <c r="G784" s="10"/>
      <c r="H784" s="20"/>
      <c r="I784" s="5"/>
    </row>
    <row r="785" spans="2:8" x14ac:dyDescent="0.15">
      <c r="B785" s="31"/>
    </row>
    <row r="786" spans="2:8" x14ac:dyDescent="0.15">
      <c r="B786" s="31"/>
    </row>
    <row r="787" spans="2:8" x14ac:dyDescent="0.15">
      <c r="B787" s="31"/>
      <c r="H787" s="10"/>
    </row>
    <row r="788" spans="2:8" x14ac:dyDescent="0.15">
      <c r="B788" s="31"/>
      <c r="H788" s="10"/>
    </row>
    <row r="789" spans="2:8" x14ac:dyDescent="0.15">
      <c r="H789" s="10"/>
    </row>
    <row r="790" spans="2:8" x14ac:dyDescent="0.15">
      <c r="H790" s="10"/>
    </row>
    <row r="791" spans="2:8" x14ac:dyDescent="0.15">
      <c r="H791" s="10"/>
    </row>
    <row r="792" spans="2:8" x14ac:dyDescent="0.15">
      <c r="B792" s="31"/>
      <c r="H792" s="10"/>
    </row>
    <row r="793" spans="2:8" x14ac:dyDescent="0.15">
      <c r="B793" s="31"/>
    </row>
    <row r="794" spans="2:8" x14ac:dyDescent="0.15">
      <c r="B794" s="31"/>
    </row>
    <row r="795" spans="2:8" x14ac:dyDescent="0.15">
      <c r="B795" s="31"/>
    </row>
    <row r="796" spans="2:8" x14ac:dyDescent="0.15">
      <c r="B796" s="31"/>
      <c r="H796" s="10"/>
    </row>
    <row r="797" spans="2:8" x14ac:dyDescent="0.15">
      <c r="B797" s="31"/>
      <c r="H797" s="10"/>
    </row>
    <row r="798" spans="2:8" x14ac:dyDescent="0.15">
      <c r="H798" s="10"/>
    </row>
    <row r="799" spans="2:8" x14ac:dyDescent="0.15">
      <c r="H799" s="10"/>
    </row>
    <row r="800" spans="2:8" x14ac:dyDescent="0.15">
      <c r="H800" s="10"/>
    </row>
    <row r="801" spans="1:9" x14ac:dyDescent="0.15">
      <c r="H801" s="10"/>
    </row>
    <row r="807" spans="1:9" x14ac:dyDescent="0.15">
      <c r="I807" s="1"/>
    </row>
    <row r="808" spans="1:9" x14ac:dyDescent="0.15">
      <c r="I808" s="1"/>
    </row>
    <row r="816" spans="1:9" s="1" customFormat="1" x14ac:dyDescent="0.15">
      <c r="A816" s="7"/>
      <c r="B816" s="4"/>
      <c r="C816" s="5"/>
      <c r="D816" s="5"/>
      <c r="E816" s="8"/>
      <c r="F816" s="9"/>
      <c r="G816" s="10"/>
      <c r="H816" s="20"/>
      <c r="I816" s="5"/>
    </row>
    <row r="817" spans="1:9" s="1" customFormat="1" x14ac:dyDescent="0.15">
      <c r="A817" s="7"/>
      <c r="B817" s="4"/>
      <c r="C817" s="5"/>
      <c r="D817" s="5"/>
      <c r="E817" s="8"/>
      <c r="F817" s="9"/>
      <c r="G817" s="10"/>
      <c r="H817" s="20"/>
      <c r="I817" s="5"/>
    </row>
    <row r="823" spans="1:9" x14ac:dyDescent="0.15">
      <c r="I823" s="5"/>
    </row>
    <row r="824" spans="1:9" x14ac:dyDescent="0.15">
      <c r="I824" s="5"/>
    </row>
    <row r="825" spans="1:9" x14ac:dyDescent="0.15">
      <c r="I825" s="5"/>
    </row>
    <row r="826" spans="1:9" x14ac:dyDescent="0.15">
      <c r="I826" s="5"/>
    </row>
    <row r="827" spans="1:9" x14ac:dyDescent="0.15">
      <c r="I827" s="5"/>
    </row>
    <row r="828" spans="1:9" x14ac:dyDescent="0.15">
      <c r="I828" s="5"/>
    </row>
    <row r="832" spans="1:9" s="5" customFormat="1" x14ac:dyDescent="0.15">
      <c r="A832" s="7"/>
      <c r="B832" s="4"/>
      <c r="E832" s="8"/>
      <c r="F832" s="9"/>
      <c r="G832" s="10"/>
      <c r="H832" s="20"/>
    </row>
    <row r="833" spans="1:8" s="5" customFormat="1" x14ac:dyDescent="0.15">
      <c r="A833" s="7"/>
      <c r="B833" s="4"/>
      <c r="E833" s="8"/>
      <c r="F833" s="9"/>
      <c r="G833" s="10"/>
      <c r="H833" s="20"/>
    </row>
    <row r="834" spans="1:8" s="5" customFormat="1" x14ac:dyDescent="0.15">
      <c r="A834" s="7"/>
      <c r="B834" s="4"/>
      <c r="E834" s="8"/>
      <c r="F834" s="9"/>
      <c r="G834" s="10"/>
      <c r="H834" s="20"/>
    </row>
    <row r="835" spans="1:8" s="5" customFormat="1" x14ac:dyDescent="0.15">
      <c r="A835" s="7"/>
      <c r="B835" s="4"/>
      <c r="E835" s="8"/>
      <c r="F835" s="9"/>
      <c r="G835" s="10"/>
      <c r="H835" s="20"/>
    </row>
    <row r="836" spans="1:8" s="5" customFormat="1" x14ac:dyDescent="0.15">
      <c r="A836" s="7"/>
      <c r="B836" s="4"/>
      <c r="E836" s="8"/>
      <c r="F836" s="9"/>
      <c r="G836" s="10"/>
      <c r="H836" s="20"/>
    </row>
    <row r="837" spans="1:8" s="5" customFormat="1" x14ac:dyDescent="0.15">
      <c r="A837" s="7"/>
      <c r="B837" s="4"/>
      <c r="E837" s="8"/>
      <c r="F837" s="9"/>
      <c r="G837" s="10"/>
      <c r="H837" s="20"/>
    </row>
    <row r="847" spans="1:8" x14ac:dyDescent="0.15">
      <c r="B847" s="31"/>
    </row>
    <row r="851" spans="8:8" x14ac:dyDescent="0.15">
      <c r="H851" s="10"/>
    </row>
    <row r="878" spans="9:9" x14ac:dyDescent="0.15">
      <c r="I878" s="5"/>
    </row>
    <row r="887" spans="1:8" s="5" customFormat="1" x14ac:dyDescent="0.15">
      <c r="A887" s="7"/>
      <c r="B887" s="4"/>
      <c r="E887" s="8"/>
      <c r="F887" s="9"/>
      <c r="G887" s="10"/>
      <c r="H887" s="20"/>
    </row>
  </sheetData>
  <printOptions horizontalCentered="1" verticalCentered="1" gridLines="1"/>
  <pageMargins left="0.35433070866141736" right="0.55118110236220474" top="0.74803149606299213" bottom="0.74803149606299213" header="0.39370078740157483" footer="0.39370078740157483"/>
  <pageSetup paperSize="9" scale="76" firstPageNumber="18" orientation="portrait" useFirstPageNumber="1" r:id="rId1"/>
  <headerFooter>
    <oddHeader xml:space="preserve">&amp;L&amp;K608097175 Glasgow Road, Clydebank&amp;R&amp;K608097Terminal Schedule of Dilapidations    </oddHeader>
    <oddFooter>&amp;L&amp;K608097Melville Gomes Associates &amp;C&amp;K608097&amp;P&amp;R&amp;K608097Chartered Building Surveyors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51968-A9E6-490B-AB3C-2CC6BDEB7E53}">
  <sheetPr>
    <tabColor theme="3" tint="0.39997558519241921"/>
  </sheetPr>
  <dimension ref="A1:I591"/>
  <sheetViews>
    <sheetView view="pageLayout" zoomScale="90" zoomScaleNormal="90" zoomScaleSheetLayoutView="100" zoomScalePageLayoutView="90" workbookViewId="0">
      <selection activeCell="C86" sqref="C85:C86"/>
    </sheetView>
  </sheetViews>
  <sheetFormatPr baseColWidth="10" defaultColWidth="5.6640625" defaultRowHeight="13" x14ac:dyDescent="0.15"/>
  <cols>
    <col min="1" max="1" width="8" style="7" customWidth="1"/>
    <col min="2" max="2" width="8.33203125" style="4" customWidth="1"/>
    <col min="3" max="3" width="39.83203125" style="5" customWidth="1"/>
    <col min="4" max="4" width="34.83203125" style="5" customWidth="1"/>
    <col min="5" max="5" width="6" style="8" customWidth="1"/>
    <col min="6" max="6" width="7.33203125" style="9" customWidth="1"/>
    <col min="7" max="7" width="8" style="10" customWidth="1"/>
    <col min="8" max="8" width="11" style="20" customWidth="1"/>
    <col min="9" max="16384" width="5.6640625" style="2"/>
  </cols>
  <sheetData>
    <row r="1" spans="1:9" s="6" customFormat="1" ht="30" x14ac:dyDescent="0.15">
      <c r="A1" s="32" t="s">
        <v>0</v>
      </c>
      <c r="B1" s="30" t="s">
        <v>1</v>
      </c>
      <c r="C1" s="23" t="s">
        <v>2</v>
      </c>
      <c r="D1" s="23" t="s">
        <v>3</v>
      </c>
      <c r="E1" s="23" t="s">
        <v>4</v>
      </c>
      <c r="F1" s="24" t="s">
        <v>5</v>
      </c>
      <c r="G1" s="25" t="s">
        <v>6</v>
      </c>
      <c r="H1" s="25" t="s">
        <v>7</v>
      </c>
    </row>
    <row r="2" spans="1:9" s="15" customFormat="1" x14ac:dyDescent="0.15">
      <c r="A2" s="7"/>
      <c r="B2" s="31"/>
      <c r="C2" s="11"/>
      <c r="D2" s="11"/>
      <c r="E2" s="8"/>
      <c r="F2" s="9"/>
      <c r="G2" s="10"/>
      <c r="H2" s="10"/>
      <c r="I2" s="11"/>
    </row>
    <row r="3" spans="1:9" s="15" customFormat="1" ht="14" x14ac:dyDescent="0.15">
      <c r="A3" s="3">
        <v>11</v>
      </c>
      <c r="B3" s="31"/>
      <c r="C3" s="14" t="s">
        <v>22</v>
      </c>
      <c r="D3" s="11"/>
      <c r="E3" s="8"/>
      <c r="F3" s="9"/>
      <c r="G3" s="10"/>
      <c r="H3" s="10"/>
      <c r="I3" s="11"/>
    </row>
    <row r="4" spans="1:9" s="14" customFormat="1" x14ac:dyDescent="0.15">
      <c r="A4" s="7"/>
      <c r="B4" s="31"/>
      <c r="C4" s="11"/>
      <c r="D4" s="11"/>
      <c r="E4" s="8"/>
      <c r="F4" s="9"/>
      <c r="G4" s="10"/>
      <c r="H4" s="10"/>
      <c r="I4" s="11"/>
    </row>
    <row r="5" spans="1:9" s="14" customFormat="1" ht="42" x14ac:dyDescent="0.15">
      <c r="A5" s="7">
        <v>11.01</v>
      </c>
      <c r="B5" s="31" t="s">
        <v>743</v>
      </c>
      <c r="C5" s="11" t="s">
        <v>67</v>
      </c>
      <c r="D5" s="11" t="s">
        <v>73</v>
      </c>
      <c r="E5" s="8" t="s">
        <v>10</v>
      </c>
      <c r="F5" s="9">
        <v>52</v>
      </c>
      <c r="G5" s="10">
        <v>15</v>
      </c>
      <c r="H5" s="10">
        <f>SUM(F5*G5)</f>
        <v>780</v>
      </c>
      <c r="I5" s="11"/>
    </row>
    <row r="6" spans="1:9" s="14" customFormat="1" x14ac:dyDescent="0.15">
      <c r="A6" s="7"/>
      <c r="B6" s="31"/>
      <c r="C6" s="11"/>
      <c r="D6" s="11"/>
      <c r="E6" s="8"/>
      <c r="F6" s="9"/>
      <c r="G6" s="10"/>
      <c r="H6" s="10"/>
      <c r="I6" s="11"/>
    </row>
    <row r="7" spans="1:9" s="14" customFormat="1" ht="42" x14ac:dyDescent="0.15">
      <c r="A7" s="7">
        <v>11.02</v>
      </c>
      <c r="B7" s="31" t="s">
        <v>743</v>
      </c>
      <c r="C7" s="11" t="s">
        <v>74</v>
      </c>
      <c r="D7" s="11" t="s">
        <v>68</v>
      </c>
      <c r="E7" s="8" t="s">
        <v>10</v>
      </c>
      <c r="F7" s="9">
        <v>78</v>
      </c>
      <c r="G7" s="10">
        <v>15</v>
      </c>
      <c r="H7" s="10">
        <f>SUM(F7*G7)</f>
        <v>1170</v>
      </c>
      <c r="I7" s="11"/>
    </row>
    <row r="8" spans="1:9" s="14" customFormat="1" x14ac:dyDescent="0.15">
      <c r="A8" s="7"/>
      <c r="B8" s="31"/>
      <c r="C8" s="11"/>
      <c r="D8" s="11"/>
      <c r="E8" s="8"/>
      <c r="F8" s="9"/>
      <c r="G8" s="10"/>
      <c r="H8" s="10"/>
      <c r="I8" s="11"/>
    </row>
    <row r="9" spans="1:9" s="14" customFormat="1" ht="14" x14ac:dyDescent="0.15">
      <c r="A9" s="7"/>
      <c r="B9" s="31"/>
      <c r="C9" s="14" t="s">
        <v>758</v>
      </c>
      <c r="D9" s="11"/>
      <c r="E9" s="8"/>
      <c r="F9" s="9"/>
      <c r="G9" s="10"/>
      <c r="H9" s="10"/>
      <c r="I9" s="11"/>
    </row>
    <row r="10" spans="1:9" s="14" customFormat="1" x14ac:dyDescent="0.15">
      <c r="A10" s="7"/>
      <c r="B10" s="31"/>
      <c r="C10" s="11"/>
      <c r="D10" s="11"/>
      <c r="E10" s="8"/>
      <c r="F10" s="9"/>
      <c r="G10" s="10"/>
      <c r="H10" s="10"/>
      <c r="I10" s="11"/>
    </row>
    <row r="11" spans="1:9" s="14" customFormat="1" ht="56" x14ac:dyDescent="0.15">
      <c r="A11" s="7">
        <v>11.03</v>
      </c>
      <c r="B11" s="31" t="s">
        <v>759</v>
      </c>
      <c r="C11" s="38" t="s">
        <v>69</v>
      </c>
      <c r="D11" s="41" t="s">
        <v>54</v>
      </c>
      <c r="E11" s="42" t="s">
        <v>8</v>
      </c>
      <c r="F11" s="9"/>
      <c r="G11" s="10"/>
      <c r="H11" s="10" t="s">
        <v>12</v>
      </c>
      <c r="I11" s="11"/>
    </row>
    <row r="12" spans="1:9" s="14" customFormat="1" x14ac:dyDescent="0.15">
      <c r="A12" s="7"/>
      <c r="B12" s="31"/>
      <c r="C12" s="41"/>
      <c r="D12" s="41"/>
      <c r="E12" s="42"/>
      <c r="F12" s="9"/>
      <c r="G12" s="10"/>
      <c r="H12" s="10"/>
      <c r="I12" s="11"/>
    </row>
    <row r="13" spans="1:9" s="14" customFormat="1" ht="42" x14ac:dyDescent="0.15">
      <c r="A13" s="7">
        <v>11.04</v>
      </c>
      <c r="B13" s="31" t="s">
        <v>759</v>
      </c>
      <c r="C13" s="41" t="s">
        <v>55</v>
      </c>
      <c r="D13" s="41" t="s">
        <v>56</v>
      </c>
      <c r="E13" s="42" t="s">
        <v>30</v>
      </c>
      <c r="F13" s="9"/>
      <c r="G13" s="10"/>
      <c r="H13" s="10">
        <v>500</v>
      </c>
      <c r="I13" s="11"/>
    </row>
    <row r="14" spans="1:9" s="14" customFormat="1" x14ac:dyDescent="0.15">
      <c r="A14" s="7"/>
      <c r="B14" s="31"/>
      <c r="C14" s="41"/>
      <c r="D14" s="41"/>
      <c r="E14" s="42"/>
      <c r="F14" s="9"/>
      <c r="G14" s="10"/>
      <c r="H14" s="10"/>
      <c r="I14" s="11"/>
    </row>
    <row r="15" spans="1:9" s="14" customFormat="1" ht="56" x14ac:dyDescent="0.15">
      <c r="A15" s="7">
        <v>11.05</v>
      </c>
      <c r="B15" s="31" t="s">
        <v>759</v>
      </c>
      <c r="C15" s="41" t="s">
        <v>55</v>
      </c>
      <c r="D15" s="41" t="s">
        <v>57</v>
      </c>
      <c r="E15" s="42" t="s">
        <v>8</v>
      </c>
      <c r="F15" s="9"/>
      <c r="G15" s="10"/>
      <c r="H15" s="10" t="s">
        <v>814</v>
      </c>
      <c r="I15" s="11"/>
    </row>
    <row r="16" spans="1:9" s="14" customFormat="1" x14ac:dyDescent="0.15">
      <c r="A16" s="7"/>
      <c r="B16" s="31"/>
      <c r="C16" s="11"/>
      <c r="D16" s="11"/>
      <c r="E16" s="8"/>
      <c r="F16" s="9"/>
      <c r="G16" s="10"/>
      <c r="H16" s="10"/>
      <c r="I16" s="11"/>
    </row>
    <row r="17" spans="1:9" s="15" customFormat="1" ht="14" x14ac:dyDescent="0.15">
      <c r="B17" s="31"/>
      <c r="C17" s="14" t="s">
        <v>23</v>
      </c>
      <c r="D17" s="11"/>
      <c r="E17" s="8"/>
      <c r="F17" s="9"/>
      <c r="G17" s="10"/>
      <c r="H17" s="10"/>
      <c r="I17" s="11"/>
    </row>
    <row r="18" spans="1:9" s="15" customFormat="1" x14ac:dyDescent="0.15">
      <c r="A18" s="7"/>
      <c r="B18" s="31"/>
      <c r="C18" s="14"/>
      <c r="D18" s="11"/>
      <c r="E18" s="8"/>
      <c r="F18" s="9"/>
      <c r="G18" s="10"/>
      <c r="H18" s="10"/>
      <c r="I18" s="11"/>
    </row>
    <row r="19" spans="1:9" s="15" customFormat="1" ht="14" x14ac:dyDescent="0.15">
      <c r="A19" s="3">
        <v>12</v>
      </c>
      <c r="B19" s="31"/>
      <c r="C19" s="14" t="s">
        <v>816</v>
      </c>
      <c r="D19" s="11"/>
      <c r="E19" s="8"/>
      <c r="F19" s="9"/>
      <c r="G19" s="10"/>
      <c r="H19" s="10"/>
      <c r="I19" s="11"/>
    </row>
    <row r="20" spans="1:9" s="15" customFormat="1" x14ac:dyDescent="0.15">
      <c r="A20" s="7"/>
      <c r="B20" s="31"/>
      <c r="C20" s="14"/>
      <c r="D20" s="11"/>
      <c r="E20" s="8"/>
      <c r="F20" s="9"/>
      <c r="G20" s="10"/>
      <c r="H20" s="10"/>
      <c r="I20" s="11"/>
    </row>
    <row r="21" spans="1:9" s="15" customFormat="1" ht="42" x14ac:dyDescent="0.15">
      <c r="A21" s="7">
        <v>12.01</v>
      </c>
      <c r="B21" s="31" t="s">
        <v>759</v>
      </c>
      <c r="C21" s="11" t="s">
        <v>24</v>
      </c>
      <c r="D21" s="11" t="s">
        <v>25</v>
      </c>
      <c r="E21" s="8" t="s">
        <v>8</v>
      </c>
      <c r="F21" s="9"/>
      <c r="G21" s="10"/>
      <c r="H21" s="10" t="s">
        <v>26</v>
      </c>
      <c r="I21" s="11"/>
    </row>
    <row r="22" spans="1:9" s="15" customFormat="1" x14ac:dyDescent="0.15">
      <c r="A22" s="7"/>
      <c r="B22" s="31"/>
      <c r="C22" s="11"/>
      <c r="D22" s="11"/>
      <c r="E22" s="8"/>
      <c r="F22" s="9"/>
      <c r="G22" s="10"/>
      <c r="H22" s="10"/>
      <c r="I22" s="11"/>
    </row>
    <row r="23" spans="1:9" s="15" customFormat="1" ht="84" x14ac:dyDescent="0.15">
      <c r="A23" s="7">
        <v>12.02</v>
      </c>
      <c r="B23" s="31" t="s">
        <v>759</v>
      </c>
      <c r="C23" s="11"/>
      <c r="D23" s="11" t="s">
        <v>27</v>
      </c>
      <c r="E23" s="8"/>
      <c r="F23" s="9"/>
      <c r="G23" s="10"/>
      <c r="H23" s="10">
        <v>750</v>
      </c>
      <c r="I23" s="11"/>
    </row>
    <row r="24" spans="1:9" s="15" customFormat="1" x14ac:dyDescent="0.15">
      <c r="A24" s="7"/>
      <c r="B24" s="31"/>
      <c r="C24" s="11"/>
      <c r="D24" s="11"/>
      <c r="E24" s="8"/>
      <c r="F24" s="9"/>
      <c r="G24" s="10"/>
      <c r="H24" s="10"/>
      <c r="I24" s="11"/>
    </row>
    <row r="25" spans="1:9" s="15" customFormat="1" ht="70" x14ac:dyDescent="0.15">
      <c r="A25" s="7">
        <v>12.03</v>
      </c>
      <c r="B25" s="31" t="s">
        <v>743</v>
      </c>
      <c r="C25" s="11" t="s">
        <v>818</v>
      </c>
      <c r="D25" s="11" t="s">
        <v>819</v>
      </c>
      <c r="E25" s="8"/>
      <c r="F25" s="9"/>
      <c r="G25" s="10"/>
      <c r="H25" s="10">
        <v>500</v>
      </c>
      <c r="I25" s="11"/>
    </row>
    <row r="26" spans="1:9" s="15" customFormat="1" x14ac:dyDescent="0.15">
      <c r="A26" s="7"/>
      <c r="B26" s="31"/>
      <c r="C26" s="11"/>
      <c r="D26" s="11"/>
      <c r="E26" s="8"/>
      <c r="F26" s="9"/>
      <c r="G26" s="10"/>
      <c r="H26" s="10"/>
      <c r="I26" s="11"/>
    </row>
    <row r="27" spans="1:9" s="15" customFormat="1" ht="28" x14ac:dyDescent="0.15">
      <c r="A27" s="7">
        <v>12.04</v>
      </c>
      <c r="B27" s="31"/>
      <c r="C27" s="11" t="s">
        <v>820</v>
      </c>
      <c r="D27" s="11" t="s">
        <v>817</v>
      </c>
      <c r="E27" s="8"/>
      <c r="F27" s="9"/>
      <c r="G27" s="10"/>
      <c r="H27" s="10">
        <v>200</v>
      </c>
      <c r="I27" s="11"/>
    </row>
    <row r="28" spans="1:9" s="15" customFormat="1" x14ac:dyDescent="0.15">
      <c r="A28" s="7"/>
      <c r="B28" s="31"/>
      <c r="C28" s="11"/>
      <c r="D28" s="11"/>
      <c r="E28" s="8"/>
      <c r="F28" s="9"/>
      <c r="G28" s="10"/>
      <c r="H28" s="10"/>
      <c r="I28" s="11"/>
    </row>
    <row r="29" spans="1:9" s="15" customFormat="1" ht="14" x14ac:dyDescent="0.15">
      <c r="A29" s="3">
        <v>13</v>
      </c>
      <c r="B29" s="31"/>
      <c r="C29" s="14" t="s">
        <v>64</v>
      </c>
      <c r="D29" s="11"/>
      <c r="E29" s="8"/>
      <c r="F29" s="9"/>
      <c r="G29" s="10"/>
      <c r="H29" s="10"/>
    </row>
    <row r="30" spans="1:9" s="15" customFormat="1" x14ac:dyDescent="0.15">
      <c r="A30" s="7"/>
      <c r="B30" s="31"/>
      <c r="C30" s="11"/>
      <c r="D30" s="11"/>
      <c r="E30" s="8"/>
      <c r="F30" s="9"/>
      <c r="G30" s="10"/>
      <c r="H30" s="10"/>
    </row>
    <row r="31" spans="1:9" s="15" customFormat="1" ht="112" x14ac:dyDescent="0.15">
      <c r="A31" s="7">
        <v>13.01</v>
      </c>
      <c r="B31" s="31" t="s">
        <v>759</v>
      </c>
      <c r="C31" s="11" t="s">
        <v>28</v>
      </c>
      <c r="D31" s="11" t="s">
        <v>29</v>
      </c>
      <c r="E31" s="8" t="s">
        <v>30</v>
      </c>
      <c r="F31" s="9"/>
      <c r="G31" s="10"/>
      <c r="H31" s="10" t="s">
        <v>26</v>
      </c>
    </row>
    <row r="32" spans="1:9" s="15" customFormat="1" x14ac:dyDescent="0.15">
      <c r="A32" s="7"/>
      <c r="B32" s="31"/>
      <c r="C32" s="11"/>
      <c r="D32" s="11"/>
      <c r="E32" s="8"/>
      <c r="F32" s="9"/>
      <c r="G32" s="10"/>
      <c r="H32" s="10"/>
    </row>
    <row r="33" spans="1:8" s="15" customFormat="1" ht="56" x14ac:dyDescent="0.15">
      <c r="A33" s="7">
        <v>13.02</v>
      </c>
      <c r="B33" s="31" t="s">
        <v>759</v>
      </c>
      <c r="C33" s="11"/>
      <c r="D33" s="11" t="s">
        <v>31</v>
      </c>
      <c r="E33" s="8"/>
      <c r="F33" s="9"/>
      <c r="G33" s="10"/>
      <c r="H33" s="10">
        <v>750</v>
      </c>
    </row>
    <row r="34" spans="1:8" s="15" customFormat="1" x14ac:dyDescent="0.15">
      <c r="A34" s="7"/>
      <c r="B34" s="31"/>
      <c r="C34" s="11"/>
      <c r="D34" s="11"/>
      <c r="E34" s="8"/>
      <c r="F34" s="9"/>
      <c r="G34" s="10"/>
      <c r="H34" s="10"/>
    </row>
    <row r="35" spans="1:8" s="15" customFormat="1" ht="56" x14ac:dyDescent="0.15">
      <c r="A35" s="7">
        <v>1.03</v>
      </c>
      <c r="B35" s="31" t="s">
        <v>759</v>
      </c>
      <c r="C35" s="11"/>
      <c r="D35" s="11" t="s">
        <v>32</v>
      </c>
      <c r="E35" s="8"/>
      <c r="F35" s="9"/>
      <c r="G35" s="10"/>
      <c r="H35" s="10" t="s">
        <v>815</v>
      </c>
    </row>
    <row r="36" spans="1:8" s="15" customFormat="1" x14ac:dyDescent="0.15">
      <c r="A36" s="7"/>
      <c r="B36" s="31"/>
      <c r="C36" s="11"/>
      <c r="D36" s="11"/>
      <c r="E36" s="8"/>
      <c r="F36" s="9"/>
      <c r="G36" s="10"/>
      <c r="H36" s="10"/>
    </row>
    <row r="37" spans="1:8" s="15" customFormat="1" ht="14" x14ac:dyDescent="0.15">
      <c r="A37" s="3">
        <v>14</v>
      </c>
      <c r="B37" s="31"/>
      <c r="C37" s="14" t="s">
        <v>65</v>
      </c>
      <c r="D37" s="11"/>
      <c r="E37" s="8"/>
      <c r="F37" s="9"/>
      <c r="G37" s="10"/>
      <c r="H37" s="10"/>
    </row>
    <row r="38" spans="1:8" s="15" customFormat="1" x14ac:dyDescent="0.15">
      <c r="A38" s="7"/>
      <c r="B38" s="31"/>
      <c r="C38" s="11"/>
      <c r="D38" s="11"/>
      <c r="E38" s="8"/>
      <c r="F38" s="9"/>
      <c r="G38" s="10"/>
      <c r="H38" s="10"/>
    </row>
    <row r="39" spans="1:8" s="15" customFormat="1" ht="42" x14ac:dyDescent="0.15">
      <c r="A39" s="7">
        <v>14.01</v>
      </c>
      <c r="B39" s="31" t="s">
        <v>759</v>
      </c>
      <c r="C39" s="11" t="s">
        <v>33</v>
      </c>
      <c r="D39" s="11" t="s">
        <v>34</v>
      </c>
      <c r="E39" s="8" t="s">
        <v>8</v>
      </c>
      <c r="F39" s="9"/>
      <c r="G39" s="10"/>
      <c r="H39" s="10" t="s">
        <v>26</v>
      </c>
    </row>
    <row r="40" spans="1:8" s="15" customFormat="1" x14ac:dyDescent="0.15">
      <c r="A40" s="7"/>
      <c r="B40" s="31"/>
      <c r="C40" s="11"/>
      <c r="D40" s="11"/>
      <c r="E40" s="8"/>
      <c r="F40" s="9"/>
      <c r="G40" s="10"/>
      <c r="H40" s="10"/>
    </row>
    <row r="41" spans="1:8" s="15" customFormat="1" ht="42" x14ac:dyDescent="0.15">
      <c r="A41" s="7">
        <v>14.02</v>
      </c>
      <c r="B41" s="31" t="s">
        <v>759</v>
      </c>
      <c r="C41" s="11"/>
      <c r="D41" s="11" t="s">
        <v>35</v>
      </c>
      <c r="E41" s="8"/>
      <c r="F41" s="9"/>
      <c r="G41" s="10"/>
      <c r="H41" s="10">
        <v>500</v>
      </c>
    </row>
    <row r="42" spans="1:8" s="15" customFormat="1" x14ac:dyDescent="0.15">
      <c r="A42" s="7"/>
      <c r="B42" s="31"/>
      <c r="C42" s="11"/>
      <c r="D42" s="11"/>
      <c r="E42" s="8"/>
      <c r="F42" s="9"/>
    </row>
    <row r="43" spans="1:8" s="15" customFormat="1" ht="56" x14ac:dyDescent="0.15">
      <c r="A43" s="7">
        <v>14.03</v>
      </c>
      <c r="B43" s="31" t="s">
        <v>759</v>
      </c>
      <c r="C43" s="11"/>
      <c r="D43" s="11" t="s">
        <v>36</v>
      </c>
      <c r="E43" s="8"/>
      <c r="F43" s="9"/>
      <c r="G43" s="10"/>
      <c r="H43" s="10" t="s">
        <v>815</v>
      </c>
    </row>
    <row r="44" spans="1:8" s="15" customFormat="1" x14ac:dyDescent="0.15">
      <c r="A44" s="7"/>
      <c r="B44" s="31"/>
      <c r="C44" s="11"/>
      <c r="D44" s="11"/>
      <c r="E44" s="8"/>
      <c r="F44" s="9"/>
      <c r="G44" s="10"/>
      <c r="H44" s="10"/>
    </row>
    <row r="45" spans="1:8" s="15" customFormat="1" ht="14" x14ac:dyDescent="0.15">
      <c r="A45" s="3">
        <v>15</v>
      </c>
      <c r="B45" s="31"/>
      <c r="C45" s="14" t="s">
        <v>66</v>
      </c>
      <c r="D45" s="11"/>
      <c r="E45" s="8"/>
      <c r="F45" s="9"/>
      <c r="G45" s="10"/>
      <c r="H45" s="10"/>
    </row>
    <row r="46" spans="1:8" s="15" customFormat="1" x14ac:dyDescent="0.15">
      <c r="A46" s="7"/>
      <c r="B46" s="31"/>
      <c r="C46" s="11"/>
      <c r="D46" s="11"/>
      <c r="E46" s="8"/>
      <c r="F46" s="9"/>
      <c r="G46" s="10"/>
      <c r="H46" s="10"/>
    </row>
    <row r="47" spans="1:8" s="15" customFormat="1" ht="28" x14ac:dyDescent="0.15">
      <c r="A47" s="7">
        <v>15.01</v>
      </c>
      <c r="B47" s="31" t="s">
        <v>759</v>
      </c>
      <c r="C47" s="11" t="s">
        <v>58</v>
      </c>
      <c r="D47" s="11" t="s">
        <v>59</v>
      </c>
      <c r="E47" s="8" t="s">
        <v>8</v>
      </c>
      <c r="F47" s="9"/>
      <c r="G47" s="10"/>
      <c r="H47" s="36" t="s">
        <v>26</v>
      </c>
    </row>
    <row r="48" spans="1:8" s="15" customFormat="1" x14ac:dyDescent="0.15">
      <c r="A48" s="7"/>
      <c r="B48" s="31"/>
      <c r="C48" s="11"/>
      <c r="D48" s="11"/>
      <c r="E48" s="8"/>
      <c r="F48" s="9"/>
      <c r="G48" s="10"/>
      <c r="H48" s="36"/>
    </row>
    <row r="49" spans="1:8" s="15" customFormat="1" ht="42" x14ac:dyDescent="0.15">
      <c r="A49" s="7">
        <v>15.02</v>
      </c>
      <c r="B49" s="31" t="s">
        <v>759</v>
      </c>
      <c r="C49" s="11"/>
      <c r="D49" s="11" t="s">
        <v>60</v>
      </c>
      <c r="E49" s="8"/>
      <c r="F49" s="9"/>
      <c r="G49" s="10"/>
      <c r="H49" s="36">
        <v>500</v>
      </c>
    </row>
    <row r="50" spans="1:8" s="15" customFormat="1" x14ac:dyDescent="0.15">
      <c r="A50" s="7"/>
      <c r="B50" s="31"/>
      <c r="C50" s="11"/>
      <c r="D50" s="11"/>
      <c r="E50" s="8"/>
      <c r="F50" s="9"/>
      <c r="G50" s="10"/>
      <c r="H50" s="36"/>
    </row>
    <row r="51" spans="1:8" s="15" customFormat="1" ht="56" x14ac:dyDescent="0.15">
      <c r="A51" s="7">
        <v>15.03</v>
      </c>
      <c r="B51" s="31" t="s">
        <v>759</v>
      </c>
      <c r="C51" s="11"/>
      <c r="D51" s="11" t="s">
        <v>36</v>
      </c>
      <c r="E51" s="8"/>
      <c r="F51" s="44"/>
      <c r="G51" s="44"/>
      <c r="H51" s="10" t="s">
        <v>815</v>
      </c>
    </row>
    <row r="52" spans="1:8" s="15" customFormat="1" x14ac:dyDescent="0.15">
      <c r="A52" s="7"/>
      <c r="B52" s="31"/>
      <c r="C52" s="11"/>
      <c r="D52" s="11"/>
      <c r="E52" s="8"/>
      <c r="F52" s="44"/>
      <c r="G52" s="44"/>
    </row>
    <row r="53" spans="1:8" s="15" customFormat="1" ht="14" x14ac:dyDescent="0.15">
      <c r="A53" s="3">
        <v>16</v>
      </c>
      <c r="B53" s="31"/>
      <c r="C53" s="14" t="s">
        <v>63</v>
      </c>
      <c r="D53" s="11"/>
      <c r="E53" s="8"/>
      <c r="F53" s="44"/>
      <c r="G53" s="44"/>
      <c r="H53" s="43"/>
    </row>
    <row r="54" spans="1:8" s="15" customFormat="1" x14ac:dyDescent="0.15">
      <c r="A54" s="7"/>
      <c r="B54" s="31"/>
      <c r="C54" s="11"/>
      <c r="D54" s="11"/>
      <c r="E54" s="8"/>
      <c r="F54" s="9"/>
      <c r="G54" s="10"/>
      <c r="H54" s="10"/>
    </row>
    <row r="55" spans="1:8" s="15" customFormat="1" ht="56" x14ac:dyDescent="0.15">
      <c r="A55" s="7">
        <v>16.010000000000002</v>
      </c>
      <c r="B55" s="31" t="s">
        <v>759</v>
      </c>
      <c r="C55" s="38" t="s">
        <v>61</v>
      </c>
      <c r="D55" s="38" t="s">
        <v>62</v>
      </c>
      <c r="E55" s="46" t="s">
        <v>8</v>
      </c>
      <c r="F55" s="45"/>
      <c r="G55" s="45"/>
      <c r="H55" s="10">
        <v>300</v>
      </c>
    </row>
    <row r="56" spans="1:8" s="15" customFormat="1" ht="14" x14ac:dyDescent="0.15">
      <c r="A56" s="7"/>
      <c r="B56" s="31"/>
      <c r="C56" s="38"/>
      <c r="D56" s="38"/>
      <c r="E56" s="46"/>
      <c r="F56" s="45"/>
      <c r="G56" s="45"/>
      <c r="H56" s="10"/>
    </row>
    <row r="57" spans="1:8" s="15" customFormat="1" ht="56" x14ac:dyDescent="0.15">
      <c r="A57" s="7">
        <v>16.02</v>
      </c>
      <c r="B57" s="31"/>
      <c r="C57" s="11"/>
      <c r="D57" s="11" t="s">
        <v>36</v>
      </c>
      <c r="E57" s="8" t="s">
        <v>8</v>
      </c>
      <c r="F57" s="9"/>
      <c r="G57" s="10"/>
      <c r="H57" s="10" t="s">
        <v>815</v>
      </c>
    </row>
    <row r="58" spans="1:8" s="15" customFormat="1" ht="14" x14ac:dyDescent="0.15">
      <c r="A58" s="3">
        <v>17</v>
      </c>
      <c r="B58" s="31"/>
      <c r="C58" s="14" t="s">
        <v>37</v>
      </c>
      <c r="D58" s="11"/>
      <c r="E58" s="8"/>
      <c r="F58" s="9"/>
      <c r="G58" s="10"/>
      <c r="H58" s="10"/>
    </row>
    <row r="59" spans="1:8" s="15" customFormat="1" x14ac:dyDescent="0.15">
      <c r="A59" s="7"/>
      <c r="B59" s="31"/>
      <c r="C59" s="11"/>
      <c r="D59" s="11"/>
      <c r="E59" s="8"/>
      <c r="F59" s="9"/>
      <c r="G59" s="10"/>
      <c r="H59" s="10"/>
    </row>
    <row r="60" spans="1:8" s="15" customFormat="1" ht="84" x14ac:dyDescent="0.15">
      <c r="A60" s="7">
        <v>17.010000000000002</v>
      </c>
      <c r="B60" s="31" t="s">
        <v>760</v>
      </c>
      <c r="C60" s="11" t="s">
        <v>38</v>
      </c>
      <c r="D60" s="11" t="s">
        <v>39</v>
      </c>
      <c r="E60" s="29"/>
      <c r="F60" s="8"/>
      <c r="G60" s="8"/>
      <c r="H60" s="10">
        <v>1000</v>
      </c>
    </row>
    <row r="61" spans="1:8" s="15" customFormat="1" x14ac:dyDescent="0.15">
      <c r="A61" s="7"/>
      <c r="B61" s="31"/>
      <c r="C61" s="11"/>
      <c r="D61" s="11"/>
      <c r="E61" s="8"/>
      <c r="F61" s="9"/>
      <c r="G61" s="10"/>
      <c r="H61" s="10"/>
    </row>
    <row r="62" spans="1:8" s="15" customFormat="1" x14ac:dyDescent="0.15">
      <c r="A62" s="3"/>
      <c r="B62" s="31"/>
      <c r="C62" s="11"/>
      <c r="D62" s="11"/>
      <c r="E62" s="8"/>
      <c r="F62" s="9"/>
      <c r="G62" s="10"/>
      <c r="H62" s="10"/>
    </row>
    <row r="63" spans="1:8" s="15" customFormat="1" ht="14" x14ac:dyDescent="0.15">
      <c r="A63" s="7"/>
      <c r="B63" s="31"/>
      <c r="C63" s="14" t="s">
        <v>9</v>
      </c>
      <c r="D63" s="11"/>
      <c r="E63" s="8"/>
      <c r="F63" s="9"/>
      <c r="G63" s="10"/>
      <c r="H63" s="19">
        <f>SUM(H4:H62)</f>
        <v>6950</v>
      </c>
    </row>
    <row r="64" spans="1:8" s="15" customFormat="1" x14ac:dyDescent="0.15">
      <c r="A64" s="7"/>
      <c r="B64" s="31"/>
      <c r="C64" s="11"/>
      <c r="D64" s="11"/>
      <c r="E64" s="8"/>
      <c r="F64" s="9"/>
      <c r="G64" s="10"/>
      <c r="H64" s="10"/>
    </row>
    <row r="65" spans="1:9" s="15" customFormat="1" x14ac:dyDescent="0.15">
      <c r="A65" s="7"/>
      <c r="B65" s="31"/>
      <c r="C65" s="11"/>
      <c r="D65" s="11"/>
      <c r="E65" s="8"/>
      <c r="F65" s="9"/>
      <c r="G65" s="10"/>
      <c r="H65" s="10"/>
    </row>
    <row r="66" spans="1:9" s="15" customFormat="1" x14ac:dyDescent="0.15">
      <c r="A66" s="3"/>
      <c r="B66" s="31"/>
      <c r="C66" s="11"/>
      <c r="D66" s="11"/>
      <c r="E66" s="8"/>
      <c r="F66" s="9"/>
      <c r="G66" s="10"/>
      <c r="H66" s="43"/>
      <c r="I66" s="11"/>
    </row>
    <row r="67" spans="1:9" s="15" customFormat="1" x14ac:dyDescent="0.15">
      <c r="A67" s="7"/>
      <c r="B67" s="31"/>
      <c r="C67" s="11"/>
      <c r="D67" s="11"/>
      <c r="E67" s="8"/>
      <c r="F67" s="9"/>
      <c r="G67" s="10"/>
      <c r="H67" s="43"/>
      <c r="I67" s="11"/>
    </row>
    <row r="68" spans="1:9" s="15" customFormat="1" x14ac:dyDescent="0.15">
      <c r="A68" s="7"/>
      <c r="B68" s="31"/>
      <c r="C68" s="11"/>
      <c r="D68" s="11"/>
      <c r="E68" s="8"/>
      <c r="F68" s="9"/>
      <c r="G68" s="10"/>
      <c r="H68" s="43"/>
      <c r="I68" s="11"/>
    </row>
    <row r="69" spans="1:9" s="15" customFormat="1" x14ac:dyDescent="0.15">
      <c r="A69" s="7"/>
      <c r="B69" s="31"/>
      <c r="C69" s="11"/>
      <c r="D69" s="11"/>
      <c r="E69" s="8"/>
      <c r="F69" s="9"/>
      <c r="G69" s="10"/>
      <c r="H69" s="43"/>
      <c r="I69" s="14"/>
    </row>
    <row r="70" spans="1:9" s="15" customFormat="1" x14ac:dyDescent="0.15">
      <c r="A70" s="7"/>
      <c r="B70" s="31"/>
      <c r="C70" s="11"/>
      <c r="D70" s="11"/>
      <c r="E70" s="8"/>
      <c r="F70" s="44"/>
      <c r="G70" s="44"/>
      <c r="H70" s="43"/>
      <c r="I70" s="14"/>
    </row>
    <row r="71" spans="1:9" s="15" customFormat="1" x14ac:dyDescent="0.15">
      <c r="A71" s="7"/>
      <c r="B71" s="31"/>
      <c r="C71" s="11"/>
      <c r="D71" s="11"/>
      <c r="E71" s="8"/>
      <c r="F71" s="9"/>
      <c r="G71" s="10"/>
      <c r="H71" s="10"/>
      <c r="I71" s="14"/>
    </row>
    <row r="72" spans="1:9" s="15" customFormat="1" x14ac:dyDescent="0.15">
      <c r="A72" s="7"/>
      <c r="B72" s="31"/>
      <c r="C72" s="11"/>
      <c r="D72" s="11"/>
      <c r="E72" s="8"/>
      <c r="F72" s="9"/>
      <c r="G72" s="10"/>
      <c r="H72" s="10"/>
      <c r="I72" s="14"/>
    </row>
    <row r="73" spans="1:9" s="15" customFormat="1" x14ac:dyDescent="0.15">
      <c r="A73" s="7"/>
      <c r="B73" s="31"/>
      <c r="C73" s="11"/>
      <c r="D73" s="11"/>
      <c r="E73" s="8"/>
      <c r="F73" s="9"/>
      <c r="G73" s="10"/>
      <c r="H73" s="10"/>
      <c r="I73" s="14"/>
    </row>
    <row r="74" spans="1:9" s="15" customFormat="1" x14ac:dyDescent="0.15">
      <c r="A74" s="7"/>
      <c r="B74" s="31"/>
      <c r="C74" s="11"/>
      <c r="D74" s="11"/>
      <c r="E74" s="8"/>
      <c r="F74" s="9"/>
      <c r="G74" s="10"/>
      <c r="H74" s="10"/>
      <c r="I74" s="14"/>
    </row>
    <row r="75" spans="1:9" s="15" customFormat="1" x14ac:dyDescent="0.15">
      <c r="A75" s="7"/>
      <c r="B75" s="31"/>
      <c r="C75" s="11"/>
      <c r="D75" s="11"/>
      <c r="E75" s="8"/>
      <c r="F75" s="9"/>
      <c r="G75" s="10"/>
      <c r="H75" s="10"/>
      <c r="I75" s="14"/>
    </row>
    <row r="76" spans="1:9" s="15" customFormat="1" x14ac:dyDescent="0.15">
      <c r="A76" s="7"/>
      <c r="B76" s="31"/>
      <c r="C76" s="11"/>
      <c r="D76" s="11"/>
      <c r="E76" s="8"/>
      <c r="F76" s="9"/>
      <c r="G76" s="10"/>
      <c r="H76" s="10"/>
      <c r="I76" s="14"/>
    </row>
    <row r="77" spans="1:9" s="15" customFormat="1" x14ac:dyDescent="0.15">
      <c r="A77" s="7"/>
      <c r="B77" s="31"/>
      <c r="C77" s="11"/>
      <c r="D77" s="11"/>
      <c r="E77" s="8"/>
      <c r="F77" s="9"/>
      <c r="G77" s="10"/>
      <c r="H77" s="10"/>
      <c r="I77" s="14"/>
    </row>
    <row r="78" spans="1:9" s="14" customFormat="1" x14ac:dyDescent="0.15">
      <c r="A78" s="7"/>
      <c r="B78" s="31"/>
      <c r="C78" s="11"/>
      <c r="D78" s="11"/>
      <c r="E78" s="8"/>
      <c r="F78" s="9"/>
      <c r="G78" s="10"/>
      <c r="H78" s="10"/>
    </row>
    <row r="79" spans="1:9" s="14" customFormat="1" x14ac:dyDescent="0.15">
      <c r="A79" s="7"/>
      <c r="B79" s="31"/>
      <c r="C79" s="11"/>
      <c r="D79" s="11"/>
      <c r="E79" s="8"/>
      <c r="F79" s="9"/>
      <c r="G79" s="10"/>
      <c r="H79" s="10"/>
    </row>
    <row r="80" spans="1:9" s="14" customFormat="1" x14ac:dyDescent="0.15">
      <c r="A80" s="7"/>
      <c r="B80" s="31"/>
      <c r="C80" s="11"/>
      <c r="D80" s="11"/>
      <c r="E80" s="8"/>
      <c r="F80" s="9"/>
      <c r="G80" s="10"/>
      <c r="H80" s="10"/>
    </row>
    <row r="81" spans="1:9" s="14" customFormat="1" x14ac:dyDescent="0.15">
      <c r="A81" s="7"/>
      <c r="B81" s="31"/>
      <c r="C81" s="11"/>
      <c r="D81" s="11"/>
      <c r="E81" s="8"/>
      <c r="F81" s="9"/>
      <c r="G81" s="10"/>
      <c r="H81" s="10"/>
    </row>
    <row r="82" spans="1:9" s="14" customFormat="1" x14ac:dyDescent="0.15">
      <c r="A82" s="7"/>
      <c r="B82" s="31"/>
      <c r="C82" s="11"/>
      <c r="D82" s="11"/>
      <c r="E82" s="8"/>
      <c r="F82" s="9"/>
      <c r="G82" s="10"/>
      <c r="H82" s="10"/>
    </row>
    <row r="83" spans="1:9" s="14" customFormat="1" x14ac:dyDescent="0.15">
      <c r="A83" s="7"/>
      <c r="B83" s="31"/>
      <c r="C83" s="11"/>
      <c r="D83" s="11"/>
      <c r="E83" s="8"/>
      <c r="F83" s="9"/>
      <c r="G83" s="10"/>
      <c r="H83" s="10"/>
      <c r="I83" s="11"/>
    </row>
    <row r="84" spans="1:9" s="14" customFormat="1" x14ac:dyDescent="0.15">
      <c r="A84" s="7"/>
      <c r="B84" s="31"/>
      <c r="C84" s="11"/>
      <c r="D84" s="11"/>
      <c r="E84" s="8"/>
      <c r="F84" s="9"/>
      <c r="G84" s="10"/>
      <c r="H84" s="10"/>
      <c r="I84" s="11"/>
    </row>
    <row r="85" spans="1:9" s="14" customFormat="1" x14ac:dyDescent="0.15">
      <c r="A85" s="7"/>
      <c r="B85" s="31"/>
      <c r="C85" s="11"/>
      <c r="D85" s="11"/>
      <c r="E85" s="8"/>
      <c r="F85" s="9"/>
      <c r="G85" s="10"/>
      <c r="H85" s="10"/>
      <c r="I85" s="11"/>
    </row>
    <row r="86" spans="1:9" s="14" customFormat="1" x14ac:dyDescent="0.15">
      <c r="A86" s="7"/>
      <c r="B86" s="31"/>
      <c r="C86" s="11"/>
      <c r="D86" s="11"/>
      <c r="E86" s="8"/>
      <c r="F86" s="9"/>
      <c r="G86" s="10"/>
      <c r="H86" s="10"/>
      <c r="I86" s="11"/>
    </row>
    <row r="87" spans="1:9" s="14" customFormat="1" x14ac:dyDescent="0.15">
      <c r="A87" s="7"/>
      <c r="B87" s="31"/>
      <c r="C87" s="11"/>
      <c r="D87" s="11"/>
      <c r="E87" s="8"/>
      <c r="F87" s="9"/>
      <c r="G87" s="10"/>
      <c r="H87" s="10"/>
      <c r="I87" s="11"/>
    </row>
    <row r="88" spans="1:9" s="14" customFormat="1" x14ac:dyDescent="0.15">
      <c r="A88" s="7"/>
      <c r="B88" s="31"/>
      <c r="C88" s="11"/>
      <c r="D88" s="11"/>
      <c r="E88" s="8"/>
      <c r="F88" s="9"/>
      <c r="G88" s="10"/>
      <c r="H88" s="10"/>
      <c r="I88" s="11"/>
    </row>
    <row r="89" spans="1:9" s="14" customFormat="1" x14ac:dyDescent="0.15">
      <c r="A89" s="7"/>
      <c r="B89" s="31"/>
      <c r="C89" s="11"/>
      <c r="D89" s="11"/>
      <c r="E89" s="8"/>
      <c r="F89" s="9"/>
      <c r="G89" s="10"/>
      <c r="H89" s="10"/>
      <c r="I89" s="11"/>
    </row>
    <row r="90" spans="1:9" s="14" customFormat="1" x14ac:dyDescent="0.15">
      <c r="A90" s="7"/>
      <c r="B90" s="31"/>
      <c r="C90" s="11"/>
      <c r="D90" s="11"/>
      <c r="E90" s="8"/>
      <c r="F90" s="9"/>
      <c r="G90" s="10"/>
      <c r="H90" s="10"/>
      <c r="I90" s="11"/>
    </row>
    <row r="91" spans="1:9" s="14" customFormat="1" x14ac:dyDescent="0.15">
      <c r="A91" s="7"/>
      <c r="B91" s="31"/>
      <c r="C91" s="11"/>
      <c r="D91" s="11"/>
      <c r="E91" s="8"/>
      <c r="F91" s="9"/>
      <c r="G91" s="10"/>
      <c r="H91" s="10"/>
      <c r="I91" s="11"/>
    </row>
    <row r="92" spans="1:9" s="15" customFormat="1" x14ac:dyDescent="0.15">
      <c r="A92" s="7"/>
      <c r="B92" s="31"/>
      <c r="C92" s="11"/>
      <c r="D92" s="11"/>
      <c r="E92" s="8"/>
      <c r="F92" s="9"/>
      <c r="G92" s="10"/>
      <c r="H92" s="10"/>
      <c r="I92" s="11"/>
    </row>
    <row r="93" spans="1:9" s="15" customFormat="1" x14ac:dyDescent="0.15">
      <c r="A93" s="7"/>
      <c r="B93" s="31"/>
      <c r="C93" s="11"/>
      <c r="D93" s="11"/>
      <c r="E93" s="8"/>
      <c r="F93" s="9"/>
      <c r="G93" s="10"/>
      <c r="H93" s="10"/>
      <c r="I93" s="11"/>
    </row>
    <row r="94" spans="1:9" s="15" customFormat="1" x14ac:dyDescent="0.15">
      <c r="A94" s="7"/>
      <c r="B94" s="31"/>
      <c r="C94" s="11"/>
      <c r="D94" s="11"/>
      <c r="E94" s="8"/>
      <c r="F94" s="9"/>
      <c r="G94" s="10"/>
      <c r="H94" s="10"/>
      <c r="I94" s="11"/>
    </row>
    <row r="95" spans="1:9" s="15" customFormat="1" x14ac:dyDescent="0.15">
      <c r="A95" s="7"/>
      <c r="B95" s="31"/>
      <c r="C95" s="11"/>
      <c r="D95" s="11"/>
      <c r="E95" s="8"/>
      <c r="F95" s="9"/>
      <c r="G95" s="10"/>
      <c r="H95" s="10"/>
      <c r="I95" s="11"/>
    </row>
    <row r="96" spans="1:9" s="15" customFormat="1" x14ac:dyDescent="0.15">
      <c r="A96" s="7"/>
      <c r="B96" s="31"/>
      <c r="C96" s="11"/>
      <c r="D96" s="11"/>
      <c r="E96" s="8"/>
      <c r="F96" s="9"/>
      <c r="G96" s="10"/>
      <c r="H96" s="10"/>
      <c r="I96" s="11"/>
    </row>
    <row r="97" spans="1:9" s="15" customFormat="1" x14ac:dyDescent="0.15">
      <c r="A97" s="7"/>
      <c r="B97" s="31"/>
      <c r="C97" s="11"/>
      <c r="D97" s="11"/>
      <c r="E97" s="8"/>
      <c r="F97" s="9"/>
      <c r="G97" s="10"/>
      <c r="H97" s="10"/>
      <c r="I97" s="11"/>
    </row>
    <row r="98" spans="1:9" s="15" customFormat="1" x14ac:dyDescent="0.15">
      <c r="A98" s="7"/>
      <c r="B98" s="31"/>
      <c r="C98" s="11"/>
      <c r="D98" s="11"/>
      <c r="E98" s="8"/>
      <c r="F98" s="9"/>
      <c r="G98" s="10"/>
      <c r="H98" s="10"/>
    </row>
    <row r="99" spans="1:9" s="15" customFormat="1" x14ac:dyDescent="0.15">
      <c r="A99" s="7"/>
      <c r="B99" s="31"/>
      <c r="C99" s="11"/>
      <c r="D99" s="11"/>
      <c r="E99" s="8"/>
      <c r="F99" s="9"/>
      <c r="G99" s="10"/>
      <c r="H99" s="10"/>
    </row>
    <row r="100" spans="1:9" s="15" customFormat="1" x14ac:dyDescent="0.15">
      <c r="A100" s="7"/>
      <c r="B100" s="31"/>
      <c r="C100" s="11"/>
      <c r="D100" s="11"/>
      <c r="E100" s="8"/>
      <c r="F100" s="9"/>
      <c r="G100" s="10"/>
      <c r="H100" s="10"/>
    </row>
    <row r="101" spans="1:9" s="15" customFormat="1" x14ac:dyDescent="0.15">
      <c r="A101" s="7"/>
      <c r="B101" s="31"/>
      <c r="C101" s="11"/>
      <c r="D101" s="11"/>
      <c r="E101" s="8"/>
      <c r="F101" s="9"/>
      <c r="G101" s="10"/>
      <c r="H101" s="10"/>
    </row>
    <row r="102" spans="1:9" s="15" customFormat="1" x14ac:dyDescent="0.15">
      <c r="A102" s="7"/>
      <c r="B102" s="31"/>
      <c r="C102" s="11"/>
      <c r="D102" s="11"/>
      <c r="E102" s="8"/>
      <c r="F102" s="9"/>
      <c r="G102" s="10"/>
      <c r="H102" s="10"/>
    </row>
    <row r="103" spans="1:9" s="15" customFormat="1" x14ac:dyDescent="0.15">
      <c r="A103" s="7"/>
      <c r="B103" s="31"/>
      <c r="C103" s="11"/>
      <c r="D103" s="11"/>
      <c r="E103" s="8"/>
      <c r="F103" s="9"/>
      <c r="G103" s="10"/>
      <c r="H103" s="10"/>
    </row>
    <row r="104" spans="1:9" s="15" customFormat="1" x14ac:dyDescent="0.15">
      <c r="A104" s="7"/>
      <c r="B104" s="31"/>
      <c r="C104" s="11"/>
      <c r="D104" s="11"/>
      <c r="E104" s="8"/>
      <c r="F104" s="9"/>
      <c r="G104" s="10"/>
      <c r="H104" s="10"/>
    </row>
    <row r="105" spans="1:9" s="15" customFormat="1" x14ac:dyDescent="0.15">
      <c r="A105" s="7"/>
      <c r="B105" s="31"/>
      <c r="C105" s="11"/>
      <c r="D105" s="11"/>
      <c r="E105" s="8"/>
      <c r="F105" s="9"/>
      <c r="G105" s="10"/>
      <c r="H105" s="10"/>
    </row>
    <row r="106" spans="1:9" s="15" customFormat="1" x14ac:dyDescent="0.15">
      <c r="A106" s="7"/>
      <c r="B106" s="31"/>
      <c r="C106" s="11"/>
      <c r="D106" s="11"/>
      <c r="E106" s="8"/>
      <c r="F106" s="9"/>
      <c r="G106" s="10"/>
      <c r="H106" s="10"/>
    </row>
    <row r="107" spans="1:9" s="15" customFormat="1" x14ac:dyDescent="0.15">
      <c r="A107" s="7"/>
      <c r="B107" s="31"/>
      <c r="C107" s="11"/>
      <c r="D107" s="11"/>
      <c r="E107" s="8"/>
      <c r="F107" s="9"/>
      <c r="G107" s="10"/>
      <c r="H107" s="10"/>
    </row>
    <row r="108" spans="1:9" s="15" customFormat="1" x14ac:dyDescent="0.15">
      <c r="A108" s="7"/>
      <c r="B108" s="31"/>
      <c r="C108" s="11"/>
      <c r="D108" s="11"/>
      <c r="E108" s="8"/>
      <c r="F108" s="9"/>
      <c r="G108" s="10"/>
      <c r="H108" s="10"/>
    </row>
    <row r="109" spans="1:9" s="15" customFormat="1" x14ac:dyDescent="0.15">
      <c r="A109" s="7"/>
      <c r="B109" s="31"/>
      <c r="C109" s="11"/>
      <c r="D109" s="11"/>
      <c r="E109" s="8"/>
      <c r="F109" s="9"/>
      <c r="G109" s="10"/>
      <c r="H109" s="10"/>
    </row>
    <row r="110" spans="1:9" s="15" customFormat="1" x14ac:dyDescent="0.15">
      <c r="A110" s="7"/>
      <c r="B110" s="31"/>
      <c r="C110" s="11"/>
      <c r="D110" s="11"/>
      <c r="E110" s="8"/>
      <c r="F110" s="9"/>
      <c r="G110" s="10"/>
      <c r="H110" s="10"/>
    </row>
    <row r="111" spans="1:9" s="15" customFormat="1" x14ac:dyDescent="0.15">
      <c r="A111" s="7"/>
      <c r="B111" s="31"/>
      <c r="C111" s="11"/>
      <c r="D111" s="11"/>
      <c r="E111" s="8"/>
      <c r="F111" s="9"/>
      <c r="G111" s="10"/>
      <c r="H111" s="10"/>
    </row>
    <row r="112" spans="1:9" s="15" customFormat="1" x14ac:dyDescent="0.15">
      <c r="A112" s="7"/>
      <c r="B112" s="31"/>
      <c r="C112" s="11"/>
      <c r="D112" s="11"/>
      <c r="E112" s="8"/>
      <c r="F112" s="9"/>
      <c r="G112" s="10"/>
      <c r="H112" s="10"/>
    </row>
    <row r="113" spans="1:8" s="15" customFormat="1" x14ac:dyDescent="0.15">
      <c r="A113" s="7"/>
      <c r="B113" s="31"/>
      <c r="C113" s="11"/>
      <c r="D113" s="11"/>
      <c r="E113" s="8"/>
      <c r="F113" s="9"/>
      <c r="G113" s="10"/>
      <c r="H113" s="10"/>
    </row>
    <row r="114" spans="1:8" s="15" customFormat="1" x14ac:dyDescent="0.15">
      <c r="A114" s="7"/>
      <c r="B114" s="31"/>
      <c r="C114" s="11"/>
      <c r="D114" s="11"/>
      <c r="E114" s="8"/>
      <c r="F114" s="9"/>
      <c r="G114" s="10"/>
      <c r="H114" s="10"/>
    </row>
    <row r="115" spans="1:8" s="15" customFormat="1" x14ac:dyDescent="0.15">
      <c r="A115" s="7"/>
      <c r="B115" s="31"/>
      <c r="C115" s="11"/>
      <c r="D115" s="11"/>
      <c r="E115" s="8"/>
      <c r="F115" s="9"/>
      <c r="G115" s="10"/>
      <c r="H115" s="10"/>
    </row>
    <row r="116" spans="1:8" s="15" customFormat="1" x14ac:dyDescent="0.15">
      <c r="A116" s="7"/>
      <c r="B116" s="31"/>
      <c r="C116" s="11"/>
      <c r="D116" s="11"/>
      <c r="E116" s="8"/>
      <c r="F116" s="9"/>
      <c r="G116" s="10"/>
      <c r="H116" s="10"/>
    </row>
    <row r="117" spans="1:8" s="15" customFormat="1" x14ac:dyDescent="0.15">
      <c r="A117" s="7"/>
      <c r="B117" s="31"/>
      <c r="C117" s="11"/>
      <c r="D117" s="11"/>
      <c r="E117" s="8"/>
      <c r="F117" s="9"/>
      <c r="G117" s="10"/>
      <c r="H117" s="10"/>
    </row>
    <row r="118" spans="1:8" s="15" customFormat="1" x14ac:dyDescent="0.15">
      <c r="A118" s="7"/>
      <c r="B118" s="31"/>
      <c r="C118" s="11"/>
      <c r="D118" s="11"/>
      <c r="E118" s="8"/>
      <c r="F118" s="9"/>
      <c r="G118" s="10"/>
      <c r="H118" s="10"/>
    </row>
    <row r="119" spans="1:8" s="15" customFormat="1" x14ac:dyDescent="0.15">
      <c r="A119" s="7"/>
      <c r="B119" s="31"/>
      <c r="C119" s="11"/>
      <c r="D119" s="11"/>
      <c r="E119" s="8"/>
      <c r="F119" s="9"/>
      <c r="G119" s="10"/>
      <c r="H119" s="10"/>
    </row>
    <row r="120" spans="1:8" s="15" customFormat="1" x14ac:dyDescent="0.15">
      <c r="A120" s="7"/>
      <c r="B120" s="31"/>
      <c r="C120" s="11"/>
      <c r="D120" s="11"/>
      <c r="E120" s="8"/>
      <c r="F120" s="9"/>
      <c r="G120" s="10"/>
      <c r="H120" s="10"/>
    </row>
    <row r="121" spans="1:8" s="15" customFormat="1" x14ac:dyDescent="0.15">
      <c r="A121" s="7"/>
      <c r="B121" s="31"/>
      <c r="C121" s="11"/>
      <c r="D121" s="11"/>
      <c r="E121" s="8"/>
      <c r="F121" s="9"/>
      <c r="G121" s="10"/>
      <c r="H121" s="10"/>
    </row>
    <row r="122" spans="1:8" s="15" customFormat="1" x14ac:dyDescent="0.15">
      <c r="A122" s="7"/>
      <c r="B122" s="31"/>
      <c r="C122" s="11"/>
      <c r="D122" s="11"/>
      <c r="E122" s="8"/>
      <c r="F122" s="9"/>
      <c r="G122" s="10"/>
      <c r="H122" s="10"/>
    </row>
    <row r="123" spans="1:8" s="15" customFormat="1" x14ac:dyDescent="0.15">
      <c r="A123" s="7"/>
      <c r="B123" s="31"/>
      <c r="C123" s="11"/>
      <c r="D123" s="11"/>
      <c r="E123" s="8"/>
      <c r="F123" s="9"/>
      <c r="G123" s="10"/>
      <c r="H123" s="10"/>
    </row>
    <row r="124" spans="1:8" s="15" customFormat="1" x14ac:dyDescent="0.15">
      <c r="A124" s="7"/>
      <c r="B124" s="31"/>
      <c r="C124" s="11"/>
      <c r="D124" s="11"/>
      <c r="E124" s="8"/>
      <c r="F124" s="9"/>
      <c r="G124" s="10"/>
      <c r="H124" s="10"/>
    </row>
    <row r="125" spans="1:8" s="15" customFormat="1" x14ac:dyDescent="0.15">
      <c r="A125" s="7"/>
      <c r="B125" s="31"/>
      <c r="C125" s="11"/>
      <c r="D125" s="11"/>
      <c r="E125" s="8"/>
      <c r="F125" s="9"/>
      <c r="G125" s="10"/>
      <c r="H125" s="10"/>
    </row>
    <row r="126" spans="1:8" s="15" customFormat="1" x14ac:dyDescent="0.15">
      <c r="A126" s="7"/>
      <c r="B126" s="31"/>
      <c r="C126" s="11"/>
      <c r="D126" s="11"/>
      <c r="E126" s="8"/>
      <c r="F126" s="9"/>
      <c r="G126" s="10"/>
      <c r="H126" s="10"/>
    </row>
    <row r="127" spans="1:8" s="15" customFormat="1" x14ac:dyDescent="0.15">
      <c r="A127" s="7"/>
      <c r="B127" s="31"/>
      <c r="C127" s="11"/>
      <c r="D127" s="11"/>
      <c r="E127" s="8"/>
      <c r="F127" s="9"/>
      <c r="G127" s="10"/>
      <c r="H127" s="10"/>
    </row>
    <row r="128" spans="1:8" s="15" customFormat="1" x14ac:dyDescent="0.15">
      <c r="A128" s="7"/>
      <c r="B128" s="31"/>
      <c r="C128" s="11"/>
      <c r="D128" s="11"/>
      <c r="E128" s="8"/>
      <c r="F128" s="9"/>
      <c r="G128" s="10"/>
      <c r="H128" s="10"/>
    </row>
    <row r="129" spans="1:9" s="15" customFormat="1" x14ac:dyDescent="0.15">
      <c r="A129" s="7"/>
      <c r="B129" s="31"/>
      <c r="C129" s="11"/>
      <c r="D129" s="11"/>
      <c r="E129" s="8"/>
      <c r="F129" s="9"/>
      <c r="G129" s="10"/>
      <c r="H129" s="10"/>
    </row>
    <row r="130" spans="1:9" s="15" customFormat="1" x14ac:dyDescent="0.15">
      <c r="A130" s="7"/>
      <c r="B130" s="31"/>
      <c r="C130" s="11"/>
      <c r="D130" s="11"/>
      <c r="E130" s="8"/>
      <c r="F130" s="9"/>
      <c r="G130" s="10"/>
      <c r="H130" s="10"/>
      <c r="I130" s="11"/>
    </row>
    <row r="131" spans="1:9" s="15" customFormat="1" x14ac:dyDescent="0.15">
      <c r="A131" s="7"/>
      <c r="B131" s="31"/>
      <c r="C131" s="11"/>
      <c r="D131" s="11"/>
      <c r="E131" s="8"/>
      <c r="F131" s="9"/>
      <c r="G131" s="10"/>
      <c r="H131" s="10"/>
      <c r="I131" s="11"/>
    </row>
    <row r="132" spans="1:9" s="15" customFormat="1" x14ac:dyDescent="0.15">
      <c r="A132" s="7"/>
      <c r="B132" s="31"/>
      <c r="C132" s="11"/>
      <c r="D132" s="11"/>
      <c r="E132" s="8"/>
      <c r="F132" s="9"/>
      <c r="G132" s="10"/>
      <c r="H132" s="10"/>
      <c r="I132" s="11"/>
    </row>
    <row r="133" spans="1:9" s="15" customFormat="1" x14ac:dyDescent="0.15">
      <c r="A133" s="7"/>
      <c r="B133" s="31"/>
      <c r="C133" s="11"/>
      <c r="D133" s="11"/>
      <c r="E133" s="8"/>
      <c r="F133" s="9"/>
      <c r="G133" s="10"/>
      <c r="H133" s="10"/>
      <c r="I133" s="11"/>
    </row>
    <row r="134" spans="1:9" s="15" customFormat="1" x14ac:dyDescent="0.15">
      <c r="A134" s="7"/>
      <c r="B134" s="31"/>
      <c r="C134" s="11"/>
      <c r="D134" s="11"/>
      <c r="E134" s="8"/>
      <c r="F134" s="9"/>
      <c r="G134" s="10"/>
      <c r="H134" s="10"/>
      <c r="I134" s="11"/>
    </row>
    <row r="135" spans="1:9" s="15" customFormat="1" x14ac:dyDescent="0.15">
      <c r="A135" s="7"/>
      <c r="B135" s="31"/>
      <c r="C135" s="11"/>
      <c r="D135" s="11"/>
      <c r="E135" s="8"/>
      <c r="F135" s="9"/>
      <c r="G135" s="10"/>
      <c r="H135" s="10"/>
      <c r="I135" s="11"/>
    </row>
    <row r="136" spans="1:9" s="15" customFormat="1" x14ac:dyDescent="0.15">
      <c r="A136" s="7"/>
      <c r="B136" s="31"/>
      <c r="C136" s="11"/>
      <c r="D136" s="11"/>
      <c r="E136" s="8"/>
      <c r="F136" s="9"/>
      <c r="G136" s="10"/>
      <c r="H136" s="10"/>
      <c r="I136" s="11"/>
    </row>
    <row r="137" spans="1:9" s="15" customFormat="1" x14ac:dyDescent="0.15">
      <c r="A137" s="7"/>
      <c r="B137" s="31"/>
      <c r="C137" s="11"/>
      <c r="D137" s="11"/>
      <c r="E137" s="8"/>
      <c r="F137" s="9"/>
      <c r="G137" s="10"/>
      <c r="H137" s="10"/>
      <c r="I137" s="11"/>
    </row>
    <row r="138" spans="1:9" s="15" customFormat="1" x14ac:dyDescent="0.15">
      <c r="A138" s="7"/>
      <c r="B138" s="31"/>
      <c r="C138" s="11"/>
      <c r="D138" s="11"/>
      <c r="E138" s="8"/>
      <c r="F138" s="9"/>
      <c r="G138" s="10"/>
      <c r="H138" s="10"/>
      <c r="I138" s="11"/>
    </row>
    <row r="139" spans="1:9" s="15" customFormat="1" x14ac:dyDescent="0.15">
      <c r="A139" s="7"/>
      <c r="B139" s="31"/>
      <c r="C139" s="11"/>
      <c r="D139" s="11"/>
      <c r="E139" s="8"/>
      <c r="F139" s="9"/>
      <c r="G139" s="10"/>
      <c r="H139" s="10"/>
      <c r="I139" s="11"/>
    </row>
    <row r="140" spans="1:9" s="15" customFormat="1" x14ac:dyDescent="0.15">
      <c r="A140" s="7"/>
      <c r="B140" s="31"/>
      <c r="C140" s="11"/>
      <c r="D140" s="11"/>
      <c r="E140" s="8"/>
      <c r="F140" s="9"/>
      <c r="G140" s="10"/>
      <c r="H140" s="10"/>
      <c r="I140" s="11"/>
    </row>
    <row r="141" spans="1:9" s="15" customFormat="1" x14ac:dyDescent="0.15">
      <c r="A141" s="7"/>
      <c r="B141" s="31"/>
      <c r="C141" s="11"/>
      <c r="D141" s="11"/>
      <c r="E141" s="8"/>
      <c r="F141" s="9"/>
      <c r="G141" s="10"/>
      <c r="H141" s="10"/>
      <c r="I141" s="11"/>
    </row>
    <row r="142" spans="1:9" s="11" customFormat="1" x14ac:dyDescent="0.15">
      <c r="A142" s="7"/>
      <c r="B142" s="31"/>
      <c r="E142" s="8"/>
      <c r="F142" s="9"/>
      <c r="G142" s="10"/>
      <c r="H142" s="10"/>
    </row>
    <row r="143" spans="1:9" s="11" customFormat="1" x14ac:dyDescent="0.15">
      <c r="A143" s="7"/>
      <c r="B143" s="31"/>
      <c r="E143" s="8"/>
      <c r="F143" s="9"/>
      <c r="G143" s="10"/>
      <c r="H143" s="10"/>
    </row>
    <row r="144" spans="1:9" s="11" customFormat="1" x14ac:dyDescent="0.15">
      <c r="A144" s="7"/>
      <c r="B144" s="31"/>
      <c r="E144" s="8"/>
      <c r="F144" s="9"/>
      <c r="G144" s="10"/>
      <c r="H144" s="10"/>
    </row>
    <row r="145" spans="1:9" s="11" customFormat="1" x14ac:dyDescent="0.15">
      <c r="A145" s="7"/>
      <c r="B145" s="31"/>
      <c r="E145" s="8"/>
      <c r="F145" s="9"/>
      <c r="G145" s="10"/>
      <c r="H145" s="10"/>
      <c r="I145" s="14"/>
    </row>
    <row r="146" spans="1:9" s="11" customFormat="1" x14ac:dyDescent="0.15">
      <c r="A146" s="7"/>
      <c r="B146" s="31"/>
      <c r="E146" s="8"/>
      <c r="F146" s="9"/>
      <c r="G146" s="10"/>
      <c r="H146" s="10"/>
      <c r="I146" s="14"/>
    </row>
    <row r="147" spans="1:9" s="11" customFormat="1" x14ac:dyDescent="0.15">
      <c r="A147" s="7"/>
      <c r="B147" s="31"/>
      <c r="E147" s="8"/>
      <c r="F147" s="9"/>
      <c r="G147" s="10"/>
      <c r="H147" s="10"/>
    </row>
    <row r="148" spans="1:9" s="11" customFormat="1" x14ac:dyDescent="0.15">
      <c r="A148" s="7"/>
      <c r="B148" s="31"/>
      <c r="E148" s="8"/>
      <c r="F148" s="9"/>
      <c r="G148" s="10"/>
      <c r="H148" s="10"/>
    </row>
    <row r="149" spans="1:9" s="11" customFormat="1" x14ac:dyDescent="0.15">
      <c r="A149" s="7"/>
      <c r="B149" s="31"/>
      <c r="E149" s="8"/>
      <c r="F149" s="9"/>
      <c r="G149" s="10"/>
      <c r="H149" s="10"/>
    </row>
    <row r="150" spans="1:9" s="11" customFormat="1" x14ac:dyDescent="0.15">
      <c r="A150" s="7"/>
      <c r="B150" s="31"/>
      <c r="E150" s="8"/>
      <c r="F150" s="9"/>
      <c r="G150" s="10"/>
      <c r="H150" s="10"/>
    </row>
    <row r="151" spans="1:9" s="15" customFormat="1" x14ac:dyDescent="0.15">
      <c r="A151" s="7"/>
      <c r="B151" s="31"/>
      <c r="C151" s="11"/>
      <c r="D151" s="11"/>
      <c r="E151" s="8"/>
      <c r="F151" s="9"/>
      <c r="G151" s="10"/>
      <c r="H151" s="10"/>
      <c r="I151" s="11"/>
    </row>
    <row r="152" spans="1:9" s="15" customFormat="1" x14ac:dyDescent="0.15">
      <c r="A152" s="7"/>
      <c r="B152" s="31"/>
      <c r="C152" s="11"/>
      <c r="D152" s="11"/>
      <c r="E152" s="8"/>
      <c r="F152" s="9"/>
      <c r="G152" s="10"/>
      <c r="H152" s="10"/>
      <c r="I152" s="11"/>
    </row>
    <row r="153" spans="1:9" s="15" customFormat="1" x14ac:dyDescent="0.15">
      <c r="A153" s="7"/>
      <c r="B153" s="31"/>
      <c r="C153" s="11"/>
      <c r="D153" s="11"/>
      <c r="E153" s="8"/>
      <c r="F153" s="9"/>
      <c r="G153" s="10"/>
      <c r="H153" s="10"/>
      <c r="I153" s="14"/>
    </row>
    <row r="154" spans="1:9" s="14" customFormat="1" x14ac:dyDescent="0.15">
      <c r="A154" s="7"/>
      <c r="B154" s="31"/>
      <c r="C154" s="11"/>
      <c r="D154" s="11"/>
      <c r="E154" s="8"/>
      <c r="F154" s="9"/>
      <c r="G154" s="10"/>
      <c r="H154" s="10"/>
    </row>
    <row r="155" spans="1:9" s="14" customFormat="1" x14ac:dyDescent="0.15">
      <c r="A155" s="7"/>
      <c r="B155" s="31"/>
      <c r="C155" s="11"/>
      <c r="D155" s="11"/>
      <c r="E155" s="8"/>
      <c r="F155" s="9"/>
      <c r="G155" s="10"/>
      <c r="H155" s="10"/>
      <c r="I155" s="11"/>
    </row>
    <row r="156" spans="1:9" s="15" customFormat="1" x14ac:dyDescent="0.15">
      <c r="A156" s="7"/>
      <c r="B156" s="31"/>
      <c r="C156" s="11"/>
      <c r="D156" s="11"/>
      <c r="E156" s="8"/>
      <c r="F156" s="9"/>
      <c r="G156" s="10"/>
      <c r="H156" s="10"/>
      <c r="I156" s="11"/>
    </row>
    <row r="157" spans="1:9" s="15" customFormat="1" x14ac:dyDescent="0.15">
      <c r="A157" s="7"/>
      <c r="B157" s="31"/>
      <c r="C157" s="11"/>
      <c r="D157" s="11"/>
      <c r="E157" s="8"/>
      <c r="F157" s="9"/>
      <c r="G157" s="10"/>
      <c r="H157" s="10"/>
      <c r="I157" s="14"/>
    </row>
    <row r="158" spans="1:9" s="15" customFormat="1" x14ac:dyDescent="0.15">
      <c r="A158" s="7"/>
      <c r="B158" s="31"/>
      <c r="C158" s="11"/>
      <c r="D158" s="11"/>
      <c r="E158" s="8"/>
      <c r="F158" s="9"/>
      <c r="G158" s="10"/>
      <c r="H158" s="10"/>
      <c r="I158" s="14"/>
    </row>
    <row r="159" spans="1:9" s="15" customFormat="1" x14ac:dyDescent="0.15">
      <c r="A159" s="7"/>
      <c r="B159" s="31"/>
      <c r="C159" s="11"/>
      <c r="D159" s="11"/>
      <c r="E159" s="8"/>
      <c r="F159" s="9"/>
      <c r="G159" s="10"/>
      <c r="H159" s="10"/>
      <c r="I159" s="11"/>
    </row>
    <row r="160" spans="1:9" s="15" customFormat="1" x14ac:dyDescent="0.15">
      <c r="A160" s="7"/>
      <c r="B160" s="31"/>
      <c r="C160" s="11"/>
      <c r="D160" s="11"/>
      <c r="E160" s="8"/>
      <c r="F160" s="9"/>
      <c r="G160" s="10"/>
      <c r="H160" s="10"/>
      <c r="I160" s="11"/>
    </row>
    <row r="161" spans="1:9" s="15" customFormat="1" x14ac:dyDescent="0.15">
      <c r="A161" s="7"/>
      <c r="B161" s="31"/>
      <c r="C161" s="11"/>
      <c r="D161" s="11"/>
      <c r="E161" s="8"/>
      <c r="F161" s="9"/>
      <c r="G161" s="10"/>
      <c r="H161" s="10"/>
      <c r="I161" s="11"/>
    </row>
    <row r="162" spans="1:9" s="14" customFormat="1" x14ac:dyDescent="0.15">
      <c r="A162" s="7"/>
      <c r="B162" s="31"/>
      <c r="C162" s="11"/>
      <c r="D162" s="11"/>
      <c r="E162" s="8"/>
      <c r="F162" s="9"/>
      <c r="G162" s="10"/>
      <c r="H162" s="10"/>
      <c r="I162" s="11"/>
    </row>
    <row r="163" spans="1:9" s="14" customFormat="1" x14ac:dyDescent="0.15">
      <c r="A163" s="7"/>
      <c r="B163" s="31"/>
      <c r="C163" s="11"/>
      <c r="D163" s="11"/>
      <c r="E163" s="8"/>
      <c r="F163" s="9"/>
      <c r="G163" s="10"/>
      <c r="H163" s="10"/>
      <c r="I163" s="11"/>
    </row>
    <row r="164" spans="1:9" s="15" customFormat="1" x14ac:dyDescent="0.15">
      <c r="A164" s="7"/>
      <c r="B164" s="31"/>
      <c r="C164" s="11"/>
      <c r="D164" s="11"/>
      <c r="E164" s="8"/>
      <c r="F164" s="9"/>
      <c r="G164" s="10"/>
      <c r="H164" s="10"/>
      <c r="I164" s="11"/>
    </row>
    <row r="165" spans="1:9" s="15" customFormat="1" x14ac:dyDescent="0.15">
      <c r="A165" s="7"/>
      <c r="B165" s="31"/>
      <c r="C165" s="11"/>
      <c r="D165" s="11"/>
      <c r="E165" s="8"/>
      <c r="F165" s="9"/>
      <c r="G165" s="10"/>
      <c r="H165" s="10"/>
      <c r="I165" s="11"/>
    </row>
    <row r="166" spans="1:9" s="14" customFormat="1" x14ac:dyDescent="0.15">
      <c r="A166" s="7"/>
      <c r="B166" s="31"/>
      <c r="C166" s="11"/>
      <c r="D166" s="11"/>
      <c r="E166" s="8"/>
      <c r="F166" s="9"/>
      <c r="G166" s="10"/>
      <c r="H166" s="10"/>
      <c r="I166" s="11"/>
    </row>
    <row r="167" spans="1:9" s="14" customFormat="1" x14ac:dyDescent="0.15">
      <c r="A167" s="7"/>
      <c r="B167" s="31"/>
      <c r="C167" s="11"/>
      <c r="D167" s="11"/>
      <c r="E167" s="8"/>
      <c r="F167" s="9"/>
      <c r="G167" s="10"/>
      <c r="H167" s="10"/>
    </row>
    <row r="168" spans="1:9" s="15" customFormat="1" x14ac:dyDescent="0.15">
      <c r="A168" s="7"/>
      <c r="B168" s="31"/>
      <c r="C168" s="11"/>
      <c r="D168" s="11"/>
      <c r="E168" s="8"/>
      <c r="F168" s="9"/>
      <c r="G168" s="10"/>
      <c r="H168" s="10"/>
      <c r="I168" s="14"/>
    </row>
    <row r="169" spans="1:9" s="15" customFormat="1" x14ac:dyDescent="0.15">
      <c r="A169" s="7"/>
      <c r="B169" s="31"/>
      <c r="C169" s="11"/>
      <c r="D169" s="11"/>
      <c r="E169" s="8"/>
      <c r="F169" s="9"/>
      <c r="G169" s="10"/>
      <c r="H169" s="10"/>
      <c r="I169" s="14"/>
    </row>
    <row r="170" spans="1:9" s="15" customFormat="1" x14ac:dyDescent="0.15">
      <c r="A170" s="7"/>
      <c r="B170" s="31"/>
      <c r="C170" s="11"/>
      <c r="D170" s="11"/>
      <c r="E170" s="8"/>
      <c r="F170" s="9"/>
      <c r="G170" s="10"/>
      <c r="H170" s="10"/>
      <c r="I170" s="14"/>
    </row>
    <row r="171" spans="1:9" s="15" customFormat="1" x14ac:dyDescent="0.15">
      <c r="A171" s="7"/>
      <c r="B171" s="31"/>
      <c r="C171" s="11"/>
      <c r="D171" s="11"/>
      <c r="E171" s="8"/>
      <c r="F171" s="9"/>
      <c r="G171" s="10"/>
      <c r="H171" s="10"/>
      <c r="I171" s="11"/>
    </row>
    <row r="172" spans="1:9" s="15" customFormat="1" x14ac:dyDescent="0.15">
      <c r="A172" s="7"/>
      <c r="B172" s="31"/>
      <c r="C172" s="11"/>
      <c r="D172" s="11"/>
      <c r="E172" s="8"/>
      <c r="F172" s="9"/>
      <c r="G172" s="10"/>
      <c r="H172" s="10"/>
      <c r="I172" s="11"/>
    </row>
    <row r="173" spans="1:9" s="15" customFormat="1" x14ac:dyDescent="0.15">
      <c r="A173" s="7"/>
      <c r="B173" s="31"/>
      <c r="C173" s="11"/>
      <c r="D173" s="11"/>
      <c r="E173" s="8"/>
      <c r="F173" s="9"/>
      <c r="G173" s="10"/>
      <c r="H173" s="10"/>
      <c r="I173" s="11"/>
    </row>
    <row r="174" spans="1:9" s="15" customFormat="1" x14ac:dyDescent="0.15">
      <c r="A174" s="7"/>
      <c r="B174" s="31"/>
      <c r="C174" s="11"/>
      <c r="D174" s="11"/>
      <c r="E174" s="8"/>
      <c r="F174" s="9"/>
      <c r="G174" s="10"/>
      <c r="H174" s="10"/>
      <c r="I174" s="11"/>
    </row>
    <row r="175" spans="1:9" s="15" customFormat="1" x14ac:dyDescent="0.15">
      <c r="A175" s="7"/>
      <c r="B175" s="31"/>
      <c r="C175" s="11"/>
      <c r="D175" s="11"/>
      <c r="E175" s="8"/>
      <c r="F175" s="9"/>
      <c r="G175" s="10"/>
      <c r="H175" s="10"/>
      <c r="I175" s="11"/>
    </row>
    <row r="176" spans="1:9" s="14" customFormat="1" x14ac:dyDescent="0.15">
      <c r="A176" s="7"/>
      <c r="B176" s="31"/>
      <c r="C176" s="11"/>
      <c r="D176" s="11"/>
      <c r="E176" s="8"/>
      <c r="F176" s="9"/>
      <c r="G176" s="10"/>
      <c r="H176" s="10"/>
      <c r="I176" s="11"/>
    </row>
    <row r="177" spans="1:9" s="14" customFormat="1" x14ac:dyDescent="0.15">
      <c r="A177" s="7"/>
      <c r="B177" s="31"/>
      <c r="C177" s="11"/>
      <c r="D177" s="11"/>
      <c r="E177" s="8"/>
      <c r="F177" s="9"/>
      <c r="G177" s="10"/>
      <c r="H177" s="10"/>
      <c r="I177" s="11"/>
    </row>
    <row r="178" spans="1:9" s="14" customFormat="1" x14ac:dyDescent="0.15">
      <c r="A178" s="7"/>
      <c r="B178" s="31"/>
      <c r="C178" s="11"/>
      <c r="D178" s="11"/>
      <c r="E178" s="8"/>
      <c r="F178" s="9"/>
      <c r="G178" s="10"/>
      <c r="H178" s="10"/>
      <c r="I178" s="11"/>
    </row>
    <row r="179" spans="1:9" s="14" customFormat="1" x14ac:dyDescent="0.15">
      <c r="A179" s="7"/>
      <c r="B179" s="31"/>
      <c r="C179" s="11"/>
      <c r="D179" s="11"/>
      <c r="E179" s="8"/>
      <c r="F179" s="9"/>
      <c r="G179" s="10"/>
      <c r="H179" s="10"/>
      <c r="I179" s="11"/>
    </row>
    <row r="180" spans="1:9" s="15" customFormat="1" x14ac:dyDescent="0.15">
      <c r="A180" s="7"/>
      <c r="B180" s="31"/>
      <c r="C180" s="11"/>
      <c r="D180" s="11"/>
      <c r="E180" s="8"/>
      <c r="F180" s="9"/>
      <c r="G180" s="10"/>
      <c r="H180" s="10"/>
      <c r="I180" s="14"/>
    </row>
    <row r="181" spans="1:9" s="15" customFormat="1" x14ac:dyDescent="0.15">
      <c r="A181" s="7"/>
      <c r="B181" s="31"/>
      <c r="C181" s="11"/>
      <c r="D181" s="11"/>
      <c r="E181" s="8"/>
      <c r="F181" s="9"/>
      <c r="G181" s="10"/>
      <c r="H181" s="10"/>
      <c r="I181" s="11"/>
    </row>
    <row r="182" spans="1:9" s="15" customFormat="1" x14ac:dyDescent="0.15">
      <c r="A182" s="7"/>
      <c r="B182" s="31"/>
      <c r="C182" s="11"/>
      <c r="D182" s="11"/>
      <c r="E182" s="8"/>
      <c r="F182" s="9"/>
      <c r="G182" s="10"/>
      <c r="H182" s="10"/>
      <c r="I182" s="11"/>
    </row>
    <row r="183" spans="1:9" s="15" customFormat="1" x14ac:dyDescent="0.15">
      <c r="A183" s="7"/>
      <c r="B183" s="31"/>
      <c r="C183" s="11"/>
      <c r="D183" s="11"/>
      <c r="E183" s="8"/>
      <c r="F183" s="9"/>
      <c r="G183" s="10"/>
      <c r="H183" s="10"/>
      <c r="I183" s="11"/>
    </row>
    <row r="184" spans="1:9" s="15" customFormat="1" x14ac:dyDescent="0.15">
      <c r="A184" s="7"/>
      <c r="B184" s="31"/>
      <c r="C184" s="11"/>
      <c r="D184" s="11"/>
      <c r="E184" s="8"/>
      <c r="F184" s="9"/>
      <c r="G184" s="10"/>
      <c r="H184" s="10"/>
      <c r="I184" s="11"/>
    </row>
    <row r="185" spans="1:9" s="15" customFormat="1" x14ac:dyDescent="0.15">
      <c r="A185" s="7"/>
      <c r="B185" s="31"/>
      <c r="C185" s="11"/>
      <c r="D185" s="11"/>
      <c r="E185" s="8"/>
      <c r="F185" s="9"/>
      <c r="G185" s="10"/>
      <c r="H185" s="10"/>
      <c r="I185" s="11"/>
    </row>
    <row r="186" spans="1:9" s="15" customFormat="1" x14ac:dyDescent="0.15">
      <c r="A186" s="7"/>
      <c r="B186" s="31"/>
      <c r="C186" s="11"/>
      <c r="D186" s="11"/>
      <c r="E186" s="8"/>
      <c r="F186" s="9"/>
      <c r="G186" s="10"/>
      <c r="H186" s="10"/>
      <c r="I186" s="11"/>
    </row>
    <row r="187" spans="1:9" s="15" customFormat="1" x14ac:dyDescent="0.15">
      <c r="A187" s="7"/>
      <c r="B187" s="31"/>
      <c r="C187" s="11"/>
      <c r="D187" s="11"/>
      <c r="E187" s="8"/>
      <c r="F187" s="9"/>
      <c r="G187" s="10"/>
      <c r="H187" s="10"/>
      <c r="I187" s="11"/>
    </row>
    <row r="188" spans="1:9" s="15" customFormat="1" x14ac:dyDescent="0.15">
      <c r="A188" s="7"/>
      <c r="B188" s="31"/>
      <c r="C188" s="11"/>
      <c r="D188" s="11"/>
      <c r="E188" s="8"/>
      <c r="F188" s="9"/>
      <c r="G188" s="10"/>
      <c r="H188" s="10"/>
      <c r="I188" s="11"/>
    </row>
    <row r="189" spans="1:9" s="14" customFormat="1" x14ac:dyDescent="0.15">
      <c r="A189" s="7"/>
      <c r="B189" s="31"/>
      <c r="C189" s="11"/>
      <c r="D189" s="11"/>
      <c r="E189" s="8"/>
      <c r="F189" s="9"/>
      <c r="G189" s="10"/>
      <c r="H189" s="10"/>
      <c r="I189" s="11"/>
    </row>
    <row r="190" spans="1:9" s="15" customFormat="1" x14ac:dyDescent="0.15">
      <c r="A190" s="7"/>
      <c r="B190" s="31"/>
      <c r="C190" s="11"/>
      <c r="D190" s="11"/>
      <c r="E190" s="8"/>
      <c r="F190" s="9"/>
      <c r="G190" s="10"/>
      <c r="H190" s="10"/>
      <c r="I190" s="11"/>
    </row>
    <row r="191" spans="1:9" s="15" customFormat="1" x14ac:dyDescent="0.15">
      <c r="A191" s="7"/>
      <c r="B191" s="31"/>
      <c r="C191" s="11"/>
      <c r="D191" s="11"/>
      <c r="E191" s="8"/>
      <c r="F191" s="9"/>
      <c r="G191" s="10"/>
      <c r="H191" s="10"/>
      <c r="I191" s="11"/>
    </row>
    <row r="192" spans="1:9" s="15" customFormat="1" x14ac:dyDescent="0.15">
      <c r="A192" s="7"/>
      <c r="B192" s="31"/>
      <c r="C192" s="11"/>
      <c r="D192" s="11"/>
      <c r="E192" s="8"/>
      <c r="F192" s="9"/>
      <c r="G192" s="10"/>
      <c r="H192" s="10"/>
      <c r="I192" s="11"/>
    </row>
    <row r="193" spans="1:9" s="15" customFormat="1" x14ac:dyDescent="0.15">
      <c r="A193" s="7"/>
      <c r="B193" s="31"/>
      <c r="C193" s="11"/>
      <c r="D193" s="11"/>
      <c r="E193" s="8"/>
      <c r="F193" s="9"/>
      <c r="G193" s="10"/>
      <c r="H193" s="10"/>
      <c r="I193" s="11"/>
    </row>
    <row r="194" spans="1:9" s="15" customFormat="1" x14ac:dyDescent="0.15">
      <c r="A194" s="7"/>
      <c r="B194" s="31"/>
      <c r="C194" s="11"/>
      <c r="D194" s="11"/>
      <c r="E194" s="8"/>
      <c r="F194" s="9"/>
      <c r="G194" s="10"/>
      <c r="H194" s="10"/>
    </row>
    <row r="195" spans="1:9" s="15" customFormat="1" x14ac:dyDescent="0.15">
      <c r="A195" s="7"/>
      <c r="B195" s="31"/>
      <c r="C195" s="11"/>
      <c r="D195" s="11"/>
      <c r="E195" s="8"/>
      <c r="F195" s="9"/>
      <c r="G195" s="10"/>
      <c r="H195" s="10"/>
    </row>
    <row r="196" spans="1:9" s="15" customFormat="1" x14ac:dyDescent="0.15">
      <c r="A196" s="7"/>
      <c r="B196" s="31"/>
      <c r="C196" s="11"/>
      <c r="D196" s="11"/>
      <c r="E196" s="8"/>
      <c r="F196" s="9"/>
      <c r="G196" s="10"/>
      <c r="H196" s="10"/>
    </row>
    <row r="197" spans="1:9" s="15" customFormat="1" x14ac:dyDescent="0.15">
      <c r="A197" s="7"/>
      <c r="B197" s="31"/>
      <c r="C197" s="11"/>
      <c r="D197" s="11"/>
      <c r="E197" s="8"/>
      <c r="F197" s="9"/>
      <c r="G197" s="10"/>
      <c r="H197" s="10"/>
    </row>
    <row r="198" spans="1:9" s="15" customFormat="1" x14ac:dyDescent="0.15">
      <c r="A198" s="7"/>
      <c r="B198" s="31"/>
      <c r="C198" s="11"/>
      <c r="D198" s="11"/>
      <c r="E198" s="8"/>
      <c r="F198" s="9"/>
      <c r="G198" s="10"/>
      <c r="H198" s="10"/>
    </row>
    <row r="199" spans="1:9" s="15" customFormat="1" x14ac:dyDescent="0.15">
      <c r="A199" s="7"/>
      <c r="B199" s="31"/>
      <c r="C199" s="11"/>
      <c r="D199" s="11"/>
      <c r="E199" s="8"/>
      <c r="F199" s="9"/>
      <c r="G199" s="10"/>
      <c r="H199" s="10"/>
    </row>
    <row r="200" spans="1:9" s="15" customFormat="1" x14ac:dyDescent="0.15">
      <c r="A200" s="7"/>
      <c r="B200" s="31"/>
      <c r="C200" s="11"/>
      <c r="D200" s="11"/>
      <c r="E200" s="8"/>
      <c r="F200" s="9"/>
      <c r="G200" s="10"/>
      <c r="H200" s="10"/>
    </row>
    <row r="201" spans="1:9" s="15" customFormat="1" x14ac:dyDescent="0.15">
      <c r="A201" s="7"/>
      <c r="B201" s="31"/>
      <c r="C201" s="11"/>
      <c r="D201" s="11"/>
      <c r="E201" s="8"/>
      <c r="F201" s="9"/>
      <c r="G201" s="10"/>
      <c r="H201" s="10"/>
    </row>
    <row r="202" spans="1:9" s="15" customFormat="1" x14ac:dyDescent="0.15">
      <c r="A202" s="7"/>
      <c r="B202" s="31"/>
      <c r="C202" s="11"/>
      <c r="D202" s="11"/>
      <c r="E202" s="8"/>
      <c r="F202" s="9"/>
      <c r="G202" s="10"/>
      <c r="H202" s="10"/>
    </row>
    <row r="203" spans="1:9" s="15" customFormat="1" x14ac:dyDescent="0.15">
      <c r="A203" s="7"/>
      <c r="B203" s="31"/>
      <c r="C203" s="11"/>
      <c r="D203" s="11"/>
      <c r="E203" s="8"/>
      <c r="F203" s="9"/>
      <c r="G203" s="10"/>
      <c r="H203" s="10"/>
    </row>
    <row r="204" spans="1:9" s="15" customFormat="1" x14ac:dyDescent="0.15">
      <c r="A204" s="7"/>
      <c r="B204" s="31"/>
      <c r="C204" s="11"/>
      <c r="D204" s="11"/>
      <c r="E204" s="8"/>
      <c r="F204" s="9"/>
      <c r="G204" s="10"/>
      <c r="H204" s="10"/>
    </row>
    <row r="205" spans="1:9" s="15" customFormat="1" x14ac:dyDescent="0.15">
      <c r="A205" s="7"/>
      <c r="B205" s="31"/>
      <c r="C205" s="11"/>
      <c r="D205" s="11"/>
      <c r="E205" s="8"/>
      <c r="F205" s="9"/>
      <c r="G205" s="10"/>
      <c r="H205" s="10"/>
    </row>
    <row r="206" spans="1:9" s="15" customFormat="1" x14ac:dyDescent="0.15">
      <c r="A206" s="7"/>
      <c r="B206" s="31"/>
      <c r="C206" s="11"/>
      <c r="D206" s="11"/>
      <c r="E206" s="8"/>
      <c r="F206" s="9"/>
      <c r="G206" s="10"/>
      <c r="H206" s="10"/>
    </row>
    <row r="207" spans="1:9" s="15" customFormat="1" x14ac:dyDescent="0.15">
      <c r="A207" s="7"/>
      <c r="B207" s="31"/>
      <c r="C207" s="11"/>
      <c r="D207" s="11"/>
      <c r="E207" s="8"/>
      <c r="F207" s="9"/>
      <c r="G207" s="10"/>
      <c r="H207" s="10"/>
    </row>
    <row r="208" spans="1:9" s="15" customFormat="1" x14ac:dyDescent="0.15">
      <c r="A208" s="7"/>
      <c r="B208" s="31"/>
      <c r="C208" s="11"/>
      <c r="D208" s="11"/>
      <c r="E208" s="8"/>
      <c r="F208" s="9"/>
      <c r="G208" s="10"/>
      <c r="H208" s="10"/>
    </row>
    <row r="209" spans="1:8" s="15" customFormat="1" x14ac:dyDescent="0.15">
      <c r="A209" s="7"/>
      <c r="B209" s="31"/>
      <c r="C209" s="11"/>
      <c r="D209" s="11"/>
      <c r="E209" s="8"/>
      <c r="F209" s="9"/>
      <c r="G209" s="10"/>
      <c r="H209" s="10"/>
    </row>
    <row r="210" spans="1:8" s="15" customFormat="1" x14ac:dyDescent="0.15">
      <c r="A210" s="7"/>
      <c r="B210" s="31"/>
      <c r="C210" s="11"/>
      <c r="D210" s="11"/>
      <c r="E210" s="8"/>
      <c r="F210" s="9"/>
      <c r="G210" s="10"/>
      <c r="H210" s="10"/>
    </row>
    <row r="211" spans="1:8" s="15" customFormat="1" x14ac:dyDescent="0.15">
      <c r="A211" s="7"/>
      <c r="B211" s="31"/>
      <c r="C211" s="11"/>
      <c r="D211" s="11"/>
      <c r="E211" s="8"/>
      <c r="F211" s="9"/>
      <c r="G211" s="10"/>
      <c r="H211" s="10"/>
    </row>
    <row r="212" spans="1:8" s="15" customFormat="1" x14ac:dyDescent="0.15">
      <c r="A212" s="7"/>
      <c r="B212" s="31"/>
      <c r="C212" s="11"/>
      <c r="D212" s="11"/>
      <c r="E212" s="8"/>
      <c r="F212" s="9"/>
      <c r="G212" s="10"/>
      <c r="H212" s="10"/>
    </row>
    <row r="213" spans="1:8" s="15" customFormat="1" x14ac:dyDescent="0.15">
      <c r="A213" s="7"/>
      <c r="B213" s="31"/>
      <c r="C213" s="11"/>
      <c r="D213" s="11"/>
      <c r="E213" s="8"/>
      <c r="F213" s="9"/>
      <c r="G213" s="10"/>
      <c r="H213" s="10"/>
    </row>
    <row r="214" spans="1:8" s="15" customFormat="1" x14ac:dyDescent="0.15">
      <c r="A214" s="7"/>
      <c r="B214" s="31"/>
      <c r="C214" s="11"/>
      <c r="D214" s="11"/>
      <c r="E214" s="8"/>
      <c r="F214" s="9"/>
      <c r="G214" s="10"/>
      <c r="H214" s="10"/>
    </row>
    <row r="215" spans="1:8" s="15" customFormat="1" x14ac:dyDescent="0.15">
      <c r="A215" s="7"/>
      <c r="B215" s="31"/>
      <c r="C215" s="11"/>
      <c r="D215" s="11"/>
      <c r="E215" s="8"/>
      <c r="F215" s="9"/>
      <c r="G215" s="10"/>
      <c r="H215" s="10"/>
    </row>
    <row r="216" spans="1:8" s="15" customFormat="1" x14ac:dyDescent="0.15">
      <c r="A216" s="7"/>
      <c r="B216" s="31"/>
      <c r="C216" s="11"/>
      <c r="D216" s="11"/>
      <c r="E216" s="8"/>
      <c r="F216" s="9"/>
      <c r="G216" s="10"/>
      <c r="H216" s="10"/>
    </row>
    <row r="217" spans="1:8" s="15" customFormat="1" x14ac:dyDescent="0.15">
      <c r="A217" s="7"/>
      <c r="B217" s="31"/>
      <c r="C217" s="11"/>
      <c r="D217" s="11"/>
      <c r="E217" s="8"/>
      <c r="F217" s="9"/>
      <c r="G217" s="10"/>
      <c r="H217" s="10"/>
    </row>
    <row r="218" spans="1:8" s="15" customFormat="1" x14ac:dyDescent="0.15">
      <c r="A218" s="7"/>
      <c r="B218" s="31"/>
      <c r="C218" s="11"/>
      <c r="D218" s="11"/>
      <c r="E218" s="8"/>
      <c r="F218" s="9"/>
      <c r="G218" s="10"/>
      <c r="H218" s="10"/>
    </row>
    <row r="219" spans="1:8" s="15" customFormat="1" x14ac:dyDescent="0.15">
      <c r="A219" s="7"/>
      <c r="B219" s="31"/>
      <c r="C219" s="11"/>
      <c r="D219" s="11"/>
      <c r="E219" s="8"/>
      <c r="F219" s="9"/>
      <c r="G219" s="10"/>
      <c r="H219" s="10"/>
    </row>
    <row r="220" spans="1:8" s="15" customFormat="1" x14ac:dyDescent="0.15">
      <c r="A220" s="7"/>
      <c r="B220" s="31"/>
      <c r="C220" s="11"/>
      <c r="D220" s="11"/>
      <c r="E220" s="8"/>
      <c r="F220" s="9"/>
      <c r="G220" s="10"/>
      <c r="H220" s="10"/>
    </row>
    <row r="221" spans="1:8" s="15" customFormat="1" x14ac:dyDescent="0.15">
      <c r="A221" s="7"/>
      <c r="B221" s="31"/>
      <c r="C221" s="11"/>
      <c r="D221" s="11"/>
      <c r="E221" s="8"/>
      <c r="F221" s="9"/>
      <c r="G221" s="10"/>
      <c r="H221" s="10"/>
    </row>
    <row r="222" spans="1:8" s="15" customFormat="1" x14ac:dyDescent="0.15">
      <c r="A222" s="7"/>
      <c r="B222" s="31"/>
      <c r="C222" s="11"/>
      <c r="D222" s="11"/>
      <c r="E222" s="8"/>
      <c r="F222" s="9"/>
      <c r="G222" s="10"/>
      <c r="H222" s="10"/>
    </row>
    <row r="223" spans="1:8" s="15" customFormat="1" x14ac:dyDescent="0.15">
      <c r="A223" s="7"/>
      <c r="B223" s="31"/>
      <c r="C223" s="11"/>
      <c r="D223" s="11"/>
      <c r="E223" s="8"/>
      <c r="F223" s="9"/>
      <c r="G223" s="10"/>
      <c r="H223" s="10"/>
    </row>
    <row r="224" spans="1:8" s="15" customFormat="1" x14ac:dyDescent="0.15">
      <c r="A224" s="7"/>
      <c r="B224" s="31"/>
      <c r="C224" s="11"/>
      <c r="D224" s="11"/>
      <c r="E224" s="8"/>
      <c r="F224" s="9"/>
      <c r="G224" s="10"/>
      <c r="H224" s="10"/>
    </row>
    <row r="225" spans="1:8" s="15" customFormat="1" x14ac:dyDescent="0.15">
      <c r="A225" s="7"/>
      <c r="B225" s="31"/>
      <c r="C225" s="11"/>
      <c r="D225" s="11"/>
      <c r="E225" s="8"/>
      <c r="F225" s="9"/>
      <c r="G225" s="10"/>
      <c r="H225" s="10"/>
    </row>
    <row r="226" spans="1:8" s="15" customFormat="1" x14ac:dyDescent="0.15">
      <c r="A226" s="7"/>
      <c r="B226" s="31"/>
      <c r="C226" s="11"/>
      <c r="D226" s="11"/>
      <c r="E226" s="8"/>
      <c r="F226" s="9"/>
      <c r="G226" s="10"/>
      <c r="H226" s="10"/>
    </row>
    <row r="227" spans="1:8" s="15" customFormat="1" x14ac:dyDescent="0.15">
      <c r="A227" s="7"/>
      <c r="B227" s="31"/>
      <c r="C227" s="11"/>
      <c r="D227" s="11"/>
      <c r="E227" s="8"/>
      <c r="F227" s="9"/>
      <c r="G227" s="10"/>
      <c r="H227" s="10"/>
    </row>
    <row r="228" spans="1:8" s="15" customFormat="1" x14ac:dyDescent="0.15">
      <c r="A228" s="7"/>
      <c r="B228" s="31"/>
      <c r="C228" s="11"/>
      <c r="D228" s="11"/>
      <c r="E228" s="8"/>
      <c r="F228" s="9"/>
      <c r="G228" s="10"/>
      <c r="H228" s="10"/>
    </row>
    <row r="229" spans="1:8" s="15" customFormat="1" x14ac:dyDescent="0.15">
      <c r="A229" s="7"/>
      <c r="B229" s="31"/>
      <c r="C229" s="11"/>
      <c r="D229" s="11"/>
      <c r="E229" s="8"/>
      <c r="F229" s="9"/>
      <c r="G229" s="10"/>
      <c r="H229" s="10"/>
    </row>
    <row r="230" spans="1:8" s="15" customFormat="1" x14ac:dyDescent="0.15">
      <c r="A230" s="7"/>
      <c r="B230" s="31"/>
      <c r="C230" s="11"/>
      <c r="D230" s="11"/>
      <c r="E230" s="8"/>
      <c r="F230" s="9"/>
      <c r="G230" s="10"/>
      <c r="H230" s="10"/>
    </row>
    <row r="231" spans="1:8" s="15" customFormat="1" x14ac:dyDescent="0.15">
      <c r="A231" s="7"/>
      <c r="B231" s="31"/>
      <c r="C231" s="11"/>
      <c r="D231" s="11"/>
      <c r="E231" s="8"/>
      <c r="F231" s="9"/>
      <c r="G231" s="10"/>
      <c r="H231" s="10"/>
    </row>
    <row r="232" spans="1:8" s="15" customFormat="1" x14ac:dyDescent="0.15">
      <c r="A232" s="7"/>
      <c r="B232" s="31"/>
      <c r="C232" s="11"/>
      <c r="D232" s="11"/>
      <c r="E232" s="8"/>
      <c r="F232" s="9"/>
      <c r="G232" s="10"/>
      <c r="H232" s="10"/>
    </row>
    <row r="233" spans="1:8" s="15" customFormat="1" x14ac:dyDescent="0.15">
      <c r="A233" s="7"/>
      <c r="B233" s="31"/>
      <c r="C233" s="11"/>
      <c r="D233" s="11"/>
      <c r="E233" s="8"/>
      <c r="F233" s="9"/>
      <c r="G233" s="10"/>
      <c r="H233" s="10"/>
    </row>
    <row r="234" spans="1:8" s="15" customFormat="1" x14ac:dyDescent="0.15">
      <c r="A234" s="7"/>
      <c r="B234" s="31"/>
      <c r="C234" s="11"/>
      <c r="D234" s="11"/>
      <c r="E234" s="8"/>
      <c r="F234" s="9"/>
      <c r="G234" s="10"/>
      <c r="H234" s="10"/>
    </row>
    <row r="235" spans="1:8" s="15" customFormat="1" x14ac:dyDescent="0.15">
      <c r="A235" s="7"/>
      <c r="B235" s="31"/>
      <c r="C235" s="11"/>
      <c r="D235" s="11"/>
      <c r="E235" s="8"/>
      <c r="F235" s="9"/>
      <c r="G235" s="10"/>
      <c r="H235" s="10"/>
    </row>
    <row r="236" spans="1:8" s="15" customFormat="1" x14ac:dyDescent="0.15">
      <c r="A236" s="7"/>
      <c r="B236" s="31"/>
      <c r="C236" s="11"/>
      <c r="D236" s="11"/>
      <c r="E236" s="8"/>
      <c r="F236" s="9"/>
      <c r="G236" s="10"/>
      <c r="H236" s="10"/>
    </row>
    <row r="237" spans="1:8" s="15" customFormat="1" x14ac:dyDescent="0.15">
      <c r="A237" s="7"/>
      <c r="B237" s="31"/>
      <c r="C237" s="11"/>
      <c r="D237" s="11"/>
      <c r="E237" s="8"/>
      <c r="F237" s="9"/>
      <c r="G237" s="10"/>
      <c r="H237" s="10"/>
    </row>
    <row r="238" spans="1:8" s="15" customFormat="1" x14ac:dyDescent="0.15">
      <c r="A238" s="7"/>
      <c r="B238" s="31"/>
      <c r="C238" s="11"/>
      <c r="D238" s="11"/>
      <c r="E238" s="8"/>
      <c r="F238" s="9"/>
      <c r="G238" s="10"/>
      <c r="H238" s="10"/>
    </row>
    <row r="239" spans="1:8" s="15" customFormat="1" x14ac:dyDescent="0.15">
      <c r="A239" s="7"/>
      <c r="B239" s="31"/>
      <c r="C239" s="11"/>
      <c r="D239" s="11"/>
      <c r="E239" s="8"/>
      <c r="F239" s="9"/>
      <c r="G239" s="10"/>
      <c r="H239" s="10"/>
    </row>
    <row r="240" spans="1:8" s="15" customFormat="1" x14ac:dyDescent="0.15">
      <c r="A240" s="7"/>
      <c r="B240" s="31"/>
      <c r="C240" s="11"/>
      <c r="D240" s="11"/>
      <c r="E240" s="8"/>
      <c r="F240" s="9"/>
      <c r="G240" s="10"/>
      <c r="H240" s="10"/>
    </row>
    <row r="241" spans="1:9" s="15" customFormat="1" x14ac:dyDescent="0.15">
      <c r="A241" s="7"/>
      <c r="B241" s="31"/>
      <c r="C241" s="11"/>
      <c r="D241" s="11"/>
      <c r="E241" s="8"/>
      <c r="F241" s="9"/>
      <c r="G241" s="10"/>
      <c r="H241" s="10"/>
    </row>
    <row r="242" spans="1:9" s="15" customFormat="1" x14ac:dyDescent="0.15">
      <c r="A242" s="7"/>
      <c r="B242" s="31"/>
      <c r="C242" s="11"/>
      <c r="D242" s="11"/>
      <c r="E242" s="8"/>
      <c r="F242" s="9"/>
      <c r="G242" s="10"/>
      <c r="H242" s="10"/>
      <c r="I242" s="11"/>
    </row>
    <row r="243" spans="1:9" s="15" customFormat="1" x14ac:dyDescent="0.15">
      <c r="A243" s="7"/>
      <c r="B243" s="31"/>
      <c r="C243" s="11"/>
      <c r="D243" s="11"/>
      <c r="E243" s="8"/>
      <c r="F243" s="9"/>
      <c r="G243" s="10"/>
      <c r="H243" s="10"/>
      <c r="I243" s="11"/>
    </row>
    <row r="244" spans="1:9" s="15" customFormat="1" x14ac:dyDescent="0.15">
      <c r="A244" s="7"/>
      <c r="B244" s="31"/>
      <c r="C244" s="11"/>
      <c r="D244" s="11"/>
      <c r="E244" s="8"/>
      <c r="F244" s="9"/>
      <c r="G244" s="10"/>
      <c r="H244" s="10"/>
      <c r="I244" s="11"/>
    </row>
    <row r="245" spans="1:9" s="15" customFormat="1" x14ac:dyDescent="0.15">
      <c r="A245" s="7"/>
      <c r="B245" s="31"/>
      <c r="C245" s="11"/>
      <c r="D245" s="11"/>
      <c r="E245" s="8"/>
      <c r="F245" s="9"/>
      <c r="G245" s="10"/>
      <c r="H245" s="10"/>
      <c r="I245" s="11"/>
    </row>
    <row r="246" spans="1:9" s="15" customFormat="1" x14ac:dyDescent="0.15">
      <c r="A246" s="7"/>
      <c r="B246" s="31"/>
      <c r="C246" s="11"/>
      <c r="D246" s="11"/>
      <c r="E246" s="8"/>
      <c r="F246" s="9"/>
      <c r="G246" s="10"/>
      <c r="H246" s="10"/>
      <c r="I246" s="11"/>
    </row>
    <row r="247" spans="1:9" s="15" customFormat="1" x14ac:dyDescent="0.15">
      <c r="A247" s="7"/>
      <c r="B247" s="31"/>
      <c r="C247" s="11"/>
      <c r="D247" s="11"/>
      <c r="E247" s="8"/>
      <c r="F247" s="9"/>
      <c r="G247" s="10"/>
      <c r="H247" s="10"/>
      <c r="I247" s="11"/>
    </row>
    <row r="248" spans="1:9" s="15" customFormat="1" x14ac:dyDescent="0.15">
      <c r="A248" s="7"/>
      <c r="B248" s="31"/>
      <c r="C248" s="11"/>
      <c r="D248" s="11"/>
      <c r="E248" s="8"/>
      <c r="F248" s="9"/>
      <c r="G248" s="10"/>
      <c r="H248" s="10"/>
      <c r="I248" s="11"/>
    </row>
    <row r="249" spans="1:9" s="15" customFormat="1" x14ac:dyDescent="0.15">
      <c r="A249" s="7"/>
      <c r="B249" s="31"/>
      <c r="C249" s="11"/>
      <c r="D249" s="11"/>
      <c r="E249" s="8"/>
      <c r="F249" s="9"/>
      <c r="G249" s="10"/>
      <c r="H249" s="10"/>
      <c r="I249" s="11"/>
    </row>
    <row r="250" spans="1:9" s="15" customFormat="1" x14ac:dyDescent="0.15">
      <c r="A250" s="7"/>
      <c r="B250" s="31"/>
      <c r="C250" s="11"/>
      <c r="D250" s="11"/>
      <c r="E250" s="8"/>
      <c r="F250" s="9"/>
      <c r="G250" s="10"/>
      <c r="H250" s="10"/>
      <c r="I250" s="11"/>
    </row>
    <row r="251" spans="1:9" s="15" customFormat="1" x14ac:dyDescent="0.15">
      <c r="A251" s="7"/>
      <c r="B251" s="31"/>
      <c r="C251" s="11"/>
      <c r="D251" s="11"/>
      <c r="E251" s="8"/>
      <c r="F251" s="9"/>
      <c r="G251" s="10"/>
      <c r="H251" s="10"/>
      <c r="I251" s="11"/>
    </row>
    <row r="252" spans="1:9" s="15" customFormat="1" x14ac:dyDescent="0.15">
      <c r="A252" s="7"/>
      <c r="B252" s="31"/>
      <c r="C252" s="11"/>
      <c r="D252" s="11"/>
      <c r="E252" s="8"/>
      <c r="F252" s="9"/>
      <c r="G252" s="10"/>
      <c r="H252" s="10"/>
      <c r="I252" s="11"/>
    </row>
    <row r="253" spans="1:9" s="15" customFormat="1" x14ac:dyDescent="0.15">
      <c r="A253" s="7"/>
      <c r="B253" s="31"/>
      <c r="C253" s="11"/>
      <c r="D253" s="11"/>
      <c r="E253" s="8"/>
      <c r="F253" s="9"/>
      <c r="G253" s="10"/>
      <c r="H253" s="10"/>
      <c r="I253" s="11"/>
    </row>
    <row r="254" spans="1:9" s="15" customFormat="1" x14ac:dyDescent="0.15">
      <c r="A254" s="7"/>
      <c r="B254" s="31"/>
      <c r="C254" s="11"/>
      <c r="D254" s="11"/>
      <c r="E254" s="8"/>
      <c r="F254" s="9"/>
      <c r="G254" s="10"/>
      <c r="H254" s="10"/>
      <c r="I254" s="11"/>
    </row>
    <row r="255" spans="1:9" s="15" customFormat="1" x14ac:dyDescent="0.15">
      <c r="A255" s="7"/>
      <c r="B255" s="31"/>
      <c r="C255" s="11"/>
      <c r="D255" s="11"/>
      <c r="E255" s="8"/>
      <c r="F255" s="9"/>
      <c r="G255" s="10"/>
      <c r="H255" s="10"/>
      <c r="I255" s="11"/>
    </row>
    <row r="256" spans="1:9" s="15" customFormat="1" x14ac:dyDescent="0.15">
      <c r="A256" s="7"/>
      <c r="B256" s="31"/>
      <c r="C256" s="11"/>
      <c r="D256" s="11"/>
      <c r="E256" s="8"/>
      <c r="F256" s="9"/>
      <c r="G256" s="10"/>
      <c r="H256" s="10"/>
      <c r="I256" s="14"/>
    </row>
    <row r="257" spans="1:9" s="15" customFormat="1" x14ac:dyDescent="0.15">
      <c r="A257" s="7"/>
      <c r="B257" s="31"/>
      <c r="C257" s="11"/>
      <c r="D257" s="11"/>
      <c r="E257" s="8"/>
      <c r="F257" s="9"/>
      <c r="G257" s="10"/>
      <c r="H257" s="10"/>
      <c r="I257" s="14"/>
    </row>
    <row r="258" spans="1:9" s="15" customFormat="1" x14ac:dyDescent="0.15">
      <c r="A258" s="7"/>
      <c r="B258" s="31"/>
      <c r="C258" s="11"/>
      <c r="D258" s="11"/>
      <c r="E258" s="8"/>
      <c r="F258" s="9"/>
      <c r="G258" s="10"/>
      <c r="H258" s="10"/>
      <c r="I258" s="11"/>
    </row>
    <row r="259" spans="1:9" s="15" customFormat="1" x14ac:dyDescent="0.15">
      <c r="A259" s="7"/>
      <c r="B259" s="31"/>
      <c r="C259" s="11"/>
      <c r="D259" s="11"/>
      <c r="E259" s="8"/>
      <c r="F259" s="9"/>
      <c r="G259" s="10"/>
      <c r="H259" s="10"/>
      <c r="I259" s="11"/>
    </row>
    <row r="260" spans="1:9" s="15" customFormat="1" x14ac:dyDescent="0.15">
      <c r="A260" s="7"/>
      <c r="B260" s="31"/>
      <c r="C260" s="11"/>
      <c r="D260" s="11"/>
      <c r="E260" s="8"/>
      <c r="F260" s="9"/>
      <c r="G260" s="10"/>
      <c r="H260" s="10"/>
      <c r="I260" s="11"/>
    </row>
    <row r="261" spans="1:9" s="15" customFormat="1" x14ac:dyDescent="0.15">
      <c r="A261" s="7"/>
      <c r="B261" s="31"/>
      <c r="C261" s="11"/>
      <c r="D261" s="11"/>
      <c r="E261" s="8"/>
      <c r="F261" s="9"/>
      <c r="G261" s="10"/>
      <c r="H261" s="10"/>
      <c r="I261" s="11"/>
    </row>
    <row r="262" spans="1:9" s="15" customFormat="1" x14ac:dyDescent="0.15">
      <c r="A262" s="7"/>
      <c r="B262" s="31"/>
      <c r="C262" s="11"/>
      <c r="D262" s="11"/>
      <c r="E262" s="8"/>
      <c r="F262" s="9"/>
      <c r="G262" s="10"/>
      <c r="H262" s="10"/>
      <c r="I262" s="11"/>
    </row>
    <row r="263" spans="1:9" s="15" customFormat="1" x14ac:dyDescent="0.15">
      <c r="A263" s="7"/>
      <c r="B263" s="31"/>
      <c r="C263" s="11"/>
      <c r="D263" s="11"/>
      <c r="E263" s="8"/>
      <c r="F263" s="9"/>
      <c r="G263" s="10"/>
      <c r="H263" s="10"/>
      <c r="I263" s="11"/>
    </row>
    <row r="264" spans="1:9" s="15" customFormat="1" x14ac:dyDescent="0.15">
      <c r="A264" s="7"/>
      <c r="B264" s="31"/>
      <c r="C264" s="11"/>
      <c r="D264" s="11"/>
      <c r="E264" s="8"/>
      <c r="F264" s="9"/>
      <c r="G264" s="10"/>
      <c r="H264" s="10"/>
      <c r="I264" s="11"/>
    </row>
    <row r="265" spans="1:9" s="14" customFormat="1" x14ac:dyDescent="0.15">
      <c r="A265" s="7"/>
      <c r="B265" s="31"/>
      <c r="C265" s="11"/>
      <c r="D265" s="11"/>
      <c r="E265" s="8"/>
      <c r="F265" s="9"/>
      <c r="G265" s="10"/>
      <c r="H265" s="10"/>
      <c r="I265" s="11"/>
    </row>
    <row r="266" spans="1:9" s="14" customFormat="1" x14ac:dyDescent="0.15">
      <c r="A266" s="7"/>
      <c r="B266" s="31"/>
      <c r="C266" s="11"/>
      <c r="D266" s="11"/>
      <c r="E266" s="8"/>
      <c r="F266" s="9"/>
      <c r="G266" s="10"/>
      <c r="H266" s="10"/>
      <c r="I266" s="11"/>
    </row>
    <row r="267" spans="1:9" s="15" customFormat="1" x14ac:dyDescent="0.15">
      <c r="A267" s="7"/>
      <c r="B267" s="31"/>
      <c r="C267" s="11"/>
      <c r="D267" s="11"/>
      <c r="E267" s="8"/>
      <c r="F267" s="9"/>
      <c r="G267" s="10"/>
      <c r="H267" s="10"/>
      <c r="I267" s="11"/>
    </row>
    <row r="268" spans="1:9" s="15" customFormat="1" x14ac:dyDescent="0.15">
      <c r="A268" s="7"/>
      <c r="B268" s="31"/>
      <c r="C268" s="11"/>
      <c r="D268" s="11"/>
      <c r="E268" s="8"/>
      <c r="F268" s="9"/>
      <c r="G268" s="10"/>
      <c r="H268" s="10"/>
      <c r="I268" s="11"/>
    </row>
    <row r="269" spans="1:9" s="15" customFormat="1" x14ac:dyDescent="0.15">
      <c r="A269" s="7"/>
      <c r="B269" s="31"/>
      <c r="C269" s="11"/>
      <c r="D269" s="11"/>
      <c r="E269" s="8"/>
      <c r="F269" s="9"/>
      <c r="G269" s="10"/>
      <c r="H269" s="10"/>
      <c r="I269" s="11"/>
    </row>
    <row r="270" spans="1:9" s="15" customFormat="1" x14ac:dyDescent="0.15">
      <c r="A270" s="7"/>
      <c r="B270" s="31"/>
      <c r="C270" s="11"/>
      <c r="D270" s="11"/>
      <c r="E270" s="8"/>
      <c r="F270" s="9"/>
      <c r="G270" s="10"/>
      <c r="H270" s="10"/>
      <c r="I270" s="11"/>
    </row>
    <row r="271" spans="1:9" s="15" customFormat="1" x14ac:dyDescent="0.15">
      <c r="A271" s="7"/>
      <c r="B271" s="31"/>
      <c r="C271" s="11"/>
      <c r="D271" s="11"/>
      <c r="E271" s="8"/>
      <c r="F271" s="9"/>
      <c r="G271" s="10"/>
      <c r="H271" s="10"/>
      <c r="I271" s="11"/>
    </row>
    <row r="272" spans="1:9" s="15" customFormat="1" x14ac:dyDescent="0.15">
      <c r="A272" s="7"/>
      <c r="B272" s="31"/>
      <c r="C272" s="11"/>
      <c r="D272" s="11"/>
      <c r="E272" s="8"/>
      <c r="F272" s="9"/>
      <c r="G272" s="10"/>
      <c r="H272" s="10"/>
      <c r="I272" s="11"/>
    </row>
    <row r="273" spans="1:9" s="15" customFormat="1" x14ac:dyDescent="0.15">
      <c r="A273" s="7"/>
      <c r="B273" s="31"/>
      <c r="C273" s="11"/>
      <c r="D273" s="11"/>
      <c r="E273" s="8"/>
      <c r="F273" s="9"/>
      <c r="G273" s="10"/>
      <c r="H273" s="10"/>
      <c r="I273" s="11"/>
    </row>
    <row r="274" spans="1:9" s="15" customFormat="1" x14ac:dyDescent="0.15">
      <c r="A274" s="7"/>
      <c r="B274" s="31"/>
      <c r="C274" s="11"/>
      <c r="D274" s="11"/>
      <c r="E274" s="8"/>
      <c r="F274" s="9"/>
      <c r="G274" s="10"/>
      <c r="H274" s="10"/>
    </row>
    <row r="275" spans="1:9" s="15" customFormat="1" x14ac:dyDescent="0.15">
      <c r="A275" s="7"/>
      <c r="B275" s="31"/>
      <c r="C275" s="11"/>
      <c r="D275" s="11"/>
      <c r="E275" s="8"/>
      <c r="F275" s="9"/>
      <c r="G275" s="10"/>
      <c r="H275" s="10"/>
    </row>
    <row r="276" spans="1:9" s="15" customFormat="1" x14ac:dyDescent="0.15">
      <c r="A276" s="7"/>
      <c r="B276" s="31"/>
      <c r="C276" s="11"/>
      <c r="D276" s="11"/>
      <c r="E276" s="8"/>
      <c r="F276" s="9"/>
      <c r="G276" s="10"/>
      <c r="H276" s="10"/>
    </row>
    <row r="277" spans="1:9" s="15" customFormat="1" x14ac:dyDescent="0.15">
      <c r="A277" s="7"/>
      <c r="B277" s="31"/>
      <c r="C277" s="11"/>
      <c r="D277" s="11"/>
      <c r="E277" s="8"/>
      <c r="F277" s="9"/>
      <c r="G277" s="10"/>
      <c r="H277" s="10"/>
    </row>
    <row r="278" spans="1:9" s="15" customFormat="1" x14ac:dyDescent="0.15">
      <c r="A278" s="7"/>
      <c r="B278" s="31"/>
      <c r="C278" s="11"/>
      <c r="D278" s="11"/>
      <c r="E278" s="8"/>
      <c r="F278" s="9"/>
      <c r="G278" s="10"/>
      <c r="H278" s="10"/>
    </row>
    <row r="279" spans="1:9" s="15" customFormat="1" x14ac:dyDescent="0.15">
      <c r="A279" s="7"/>
      <c r="B279" s="31"/>
      <c r="C279" s="11"/>
      <c r="D279" s="11"/>
      <c r="E279" s="8"/>
      <c r="F279" s="9"/>
      <c r="G279" s="10"/>
      <c r="H279" s="10"/>
    </row>
    <row r="280" spans="1:9" s="15" customFormat="1" x14ac:dyDescent="0.15">
      <c r="A280" s="7"/>
      <c r="B280" s="31"/>
      <c r="C280" s="11"/>
      <c r="D280" s="11"/>
      <c r="E280" s="8"/>
      <c r="F280" s="9"/>
      <c r="G280" s="10"/>
      <c r="H280" s="10"/>
    </row>
    <row r="281" spans="1:9" s="15" customFormat="1" x14ac:dyDescent="0.15">
      <c r="A281" s="7"/>
      <c r="B281" s="31"/>
      <c r="C281" s="11"/>
      <c r="D281" s="11"/>
      <c r="E281" s="8"/>
      <c r="F281" s="9"/>
      <c r="G281" s="10"/>
      <c r="H281" s="10"/>
    </row>
    <row r="282" spans="1:9" s="15" customFormat="1" x14ac:dyDescent="0.15">
      <c r="A282" s="7"/>
      <c r="B282" s="31"/>
      <c r="C282" s="11"/>
      <c r="D282" s="11"/>
      <c r="E282" s="8"/>
      <c r="F282" s="9"/>
      <c r="G282" s="10"/>
      <c r="H282" s="10"/>
    </row>
    <row r="283" spans="1:9" s="15" customFormat="1" x14ac:dyDescent="0.15">
      <c r="A283" s="7"/>
      <c r="B283" s="31"/>
      <c r="C283" s="11"/>
      <c r="D283" s="11"/>
      <c r="E283" s="8"/>
      <c r="F283" s="9"/>
      <c r="G283" s="10"/>
      <c r="H283" s="10"/>
    </row>
    <row r="284" spans="1:9" s="15" customFormat="1" x14ac:dyDescent="0.15">
      <c r="A284" s="7"/>
      <c r="B284" s="31"/>
      <c r="C284" s="11"/>
      <c r="D284" s="11"/>
      <c r="E284" s="8"/>
      <c r="F284" s="9"/>
      <c r="G284" s="10"/>
      <c r="H284" s="10"/>
    </row>
    <row r="285" spans="1:9" s="15" customFormat="1" x14ac:dyDescent="0.15">
      <c r="A285" s="7"/>
      <c r="B285" s="31"/>
      <c r="C285" s="11"/>
      <c r="D285" s="11"/>
      <c r="E285" s="8"/>
      <c r="F285" s="9"/>
      <c r="G285" s="10"/>
      <c r="H285" s="10"/>
    </row>
    <row r="286" spans="1:9" s="15" customFormat="1" x14ac:dyDescent="0.15">
      <c r="A286" s="7"/>
      <c r="B286" s="31"/>
      <c r="C286" s="11"/>
      <c r="D286" s="11"/>
      <c r="E286" s="8"/>
      <c r="F286" s="9"/>
      <c r="G286" s="10"/>
      <c r="H286" s="10"/>
    </row>
    <row r="287" spans="1:9" s="15" customFormat="1" x14ac:dyDescent="0.15">
      <c r="A287" s="7"/>
      <c r="B287" s="31"/>
      <c r="C287" s="11"/>
      <c r="D287" s="11"/>
      <c r="E287" s="8"/>
      <c r="F287" s="9"/>
      <c r="G287" s="10"/>
      <c r="H287" s="10"/>
    </row>
    <row r="288" spans="1:9" s="15" customFormat="1" x14ac:dyDescent="0.15">
      <c r="A288" s="7"/>
      <c r="B288" s="31"/>
      <c r="C288" s="11"/>
      <c r="D288" s="11"/>
      <c r="E288" s="8"/>
      <c r="F288" s="9"/>
      <c r="G288" s="10"/>
      <c r="H288" s="10"/>
    </row>
    <row r="289" spans="1:8" s="15" customFormat="1" x14ac:dyDescent="0.15">
      <c r="A289" s="7"/>
      <c r="B289" s="31"/>
      <c r="C289" s="11"/>
      <c r="D289" s="11"/>
      <c r="E289" s="8"/>
      <c r="F289" s="9"/>
      <c r="G289" s="10"/>
      <c r="H289" s="10"/>
    </row>
    <row r="290" spans="1:8" s="15" customFormat="1" x14ac:dyDescent="0.15">
      <c r="A290" s="7"/>
      <c r="B290" s="31"/>
      <c r="C290" s="11"/>
      <c r="D290" s="11"/>
      <c r="E290" s="8"/>
      <c r="F290" s="9"/>
      <c r="G290" s="10"/>
      <c r="H290" s="10"/>
    </row>
    <row r="291" spans="1:8" s="15" customFormat="1" x14ac:dyDescent="0.15">
      <c r="A291" s="7"/>
      <c r="B291" s="31"/>
      <c r="C291" s="11"/>
      <c r="D291" s="11"/>
      <c r="E291" s="8"/>
      <c r="F291" s="9"/>
      <c r="G291" s="10"/>
      <c r="H291" s="10"/>
    </row>
    <row r="292" spans="1:8" s="15" customFormat="1" x14ac:dyDescent="0.15">
      <c r="A292" s="7"/>
      <c r="B292" s="31"/>
      <c r="C292" s="11"/>
      <c r="D292" s="11"/>
      <c r="E292" s="8"/>
      <c r="F292" s="9"/>
      <c r="G292" s="10"/>
      <c r="H292" s="10"/>
    </row>
    <row r="293" spans="1:8" s="15" customFormat="1" x14ac:dyDescent="0.15">
      <c r="A293" s="7"/>
      <c r="B293" s="31"/>
      <c r="C293" s="11"/>
      <c r="D293" s="11"/>
      <c r="E293" s="8"/>
      <c r="F293" s="9"/>
      <c r="G293" s="10"/>
      <c r="H293" s="10"/>
    </row>
    <row r="294" spans="1:8" s="15" customFormat="1" x14ac:dyDescent="0.15">
      <c r="A294" s="7"/>
      <c r="B294" s="31"/>
      <c r="C294" s="11"/>
      <c r="D294" s="11"/>
      <c r="E294" s="8"/>
      <c r="F294" s="9"/>
      <c r="G294" s="10"/>
      <c r="H294" s="10"/>
    </row>
    <row r="295" spans="1:8" s="15" customFormat="1" x14ac:dyDescent="0.15">
      <c r="A295" s="7"/>
      <c r="B295" s="31"/>
      <c r="C295" s="11"/>
      <c r="D295" s="11"/>
      <c r="E295" s="8"/>
      <c r="F295" s="9"/>
      <c r="G295" s="10"/>
      <c r="H295" s="10"/>
    </row>
    <row r="296" spans="1:8" s="15" customFormat="1" x14ac:dyDescent="0.15">
      <c r="A296" s="7"/>
      <c r="B296" s="31"/>
      <c r="C296" s="11"/>
      <c r="D296" s="11"/>
      <c r="E296" s="8"/>
      <c r="F296" s="9"/>
      <c r="G296" s="10"/>
      <c r="H296" s="10"/>
    </row>
    <row r="297" spans="1:8" s="15" customFormat="1" x14ac:dyDescent="0.15">
      <c r="A297" s="7"/>
      <c r="B297" s="31"/>
      <c r="C297" s="11"/>
      <c r="D297" s="11"/>
      <c r="E297" s="8"/>
      <c r="F297" s="9"/>
      <c r="G297" s="10"/>
      <c r="H297" s="10"/>
    </row>
    <row r="298" spans="1:8" s="15" customFormat="1" x14ac:dyDescent="0.15">
      <c r="A298" s="7"/>
      <c r="B298" s="31"/>
      <c r="C298" s="11"/>
      <c r="D298" s="11"/>
      <c r="E298" s="8"/>
      <c r="F298" s="9"/>
      <c r="G298" s="10"/>
      <c r="H298" s="10"/>
    </row>
    <row r="299" spans="1:8" s="15" customFormat="1" x14ac:dyDescent="0.15">
      <c r="A299" s="7"/>
      <c r="B299" s="31"/>
      <c r="C299" s="11"/>
      <c r="D299" s="11"/>
      <c r="E299" s="8"/>
      <c r="F299" s="9"/>
      <c r="G299" s="10"/>
      <c r="H299" s="10"/>
    </row>
    <row r="300" spans="1:8" s="15" customFormat="1" x14ac:dyDescent="0.15">
      <c r="A300" s="7"/>
      <c r="B300" s="31"/>
      <c r="C300" s="11"/>
      <c r="D300" s="11"/>
      <c r="E300" s="8"/>
      <c r="F300" s="9"/>
      <c r="G300" s="10"/>
      <c r="H300" s="10"/>
    </row>
    <row r="301" spans="1:8" s="15" customFormat="1" x14ac:dyDescent="0.15">
      <c r="A301" s="7"/>
      <c r="B301" s="31"/>
      <c r="C301" s="11"/>
      <c r="D301" s="11"/>
      <c r="E301" s="8"/>
      <c r="F301" s="9"/>
      <c r="G301" s="10"/>
      <c r="H301" s="10"/>
    </row>
    <row r="302" spans="1:8" s="15" customFormat="1" x14ac:dyDescent="0.15">
      <c r="A302" s="7"/>
      <c r="B302" s="31"/>
      <c r="C302" s="11"/>
      <c r="D302" s="11"/>
      <c r="E302" s="8"/>
      <c r="F302" s="9"/>
      <c r="G302" s="10"/>
      <c r="H302" s="10"/>
    </row>
    <row r="303" spans="1:8" s="15" customFormat="1" x14ac:dyDescent="0.15">
      <c r="A303" s="7"/>
      <c r="B303" s="31"/>
      <c r="C303" s="11"/>
      <c r="D303" s="11"/>
      <c r="E303" s="8"/>
      <c r="F303" s="9"/>
      <c r="G303" s="10"/>
      <c r="H303" s="10"/>
    </row>
    <row r="304" spans="1:8" s="15" customFormat="1" x14ac:dyDescent="0.15">
      <c r="A304" s="7"/>
      <c r="B304" s="31"/>
      <c r="C304" s="11"/>
      <c r="D304" s="11"/>
      <c r="E304" s="8"/>
      <c r="F304" s="9"/>
      <c r="G304" s="10"/>
      <c r="H304" s="10"/>
    </row>
    <row r="305" spans="1:8" s="15" customFormat="1" x14ac:dyDescent="0.15">
      <c r="A305" s="7"/>
      <c r="B305" s="31"/>
      <c r="C305" s="11"/>
      <c r="D305" s="11"/>
      <c r="E305" s="8"/>
      <c r="F305" s="9"/>
      <c r="G305" s="10"/>
      <c r="H305" s="10"/>
    </row>
    <row r="306" spans="1:8" s="15" customFormat="1" x14ac:dyDescent="0.15">
      <c r="A306" s="7"/>
      <c r="B306" s="31"/>
      <c r="C306" s="11"/>
      <c r="D306" s="11"/>
      <c r="E306" s="8"/>
      <c r="F306" s="9"/>
      <c r="G306" s="10"/>
      <c r="H306" s="10"/>
    </row>
    <row r="307" spans="1:8" s="15" customFormat="1" x14ac:dyDescent="0.15">
      <c r="A307" s="7"/>
      <c r="B307" s="31"/>
      <c r="C307" s="11"/>
      <c r="D307" s="11"/>
      <c r="E307" s="8"/>
      <c r="F307" s="9"/>
      <c r="G307" s="10"/>
      <c r="H307" s="10"/>
    </row>
    <row r="308" spans="1:8" s="15" customFormat="1" x14ac:dyDescent="0.15">
      <c r="A308" s="7"/>
      <c r="B308" s="31"/>
      <c r="C308" s="11"/>
      <c r="D308" s="11"/>
      <c r="E308" s="8"/>
      <c r="F308" s="9"/>
      <c r="G308" s="10"/>
      <c r="H308" s="10"/>
    </row>
    <row r="309" spans="1:8" s="15" customFormat="1" x14ac:dyDescent="0.15">
      <c r="A309" s="7"/>
      <c r="B309" s="31"/>
      <c r="C309" s="11"/>
      <c r="D309" s="11"/>
      <c r="E309" s="8"/>
      <c r="F309" s="9"/>
      <c r="G309" s="10"/>
      <c r="H309" s="10"/>
    </row>
    <row r="310" spans="1:8" s="15" customFormat="1" x14ac:dyDescent="0.15">
      <c r="A310" s="7"/>
      <c r="B310" s="31"/>
      <c r="C310" s="11"/>
      <c r="D310" s="11"/>
      <c r="E310" s="8"/>
      <c r="F310" s="9"/>
      <c r="G310" s="10"/>
      <c r="H310" s="10"/>
    </row>
    <row r="311" spans="1:8" s="15" customFormat="1" x14ac:dyDescent="0.15">
      <c r="A311" s="7"/>
      <c r="B311" s="31"/>
      <c r="C311" s="11"/>
      <c r="D311" s="11"/>
      <c r="E311" s="8"/>
      <c r="F311" s="9"/>
      <c r="G311" s="10"/>
      <c r="H311" s="10"/>
    </row>
    <row r="312" spans="1:8" s="15" customFormat="1" x14ac:dyDescent="0.15">
      <c r="A312" s="7"/>
      <c r="B312" s="31"/>
      <c r="C312" s="11"/>
      <c r="D312" s="11"/>
      <c r="E312" s="8"/>
      <c r="F312" s="9"/>
      <c r="G312" s="10"/>
      <c r="H312" s="10"/>
    </row>
    <row r="313" spans="1:8" s="15" customFormat="1" x14ac:dyDescent="0.15">
      <c r="A313" s="7"/>
      <c r="B313" s="31"/>
      <c r="C313" s="11"/>
      <c r="D313" s="11"/>
      <c r="E313" s="8"/>
      <c r="F313" s="9"/>
      <c r="G313" s="10"/>
      <c r="H313" s="10"/>
    </row>
    <row r="314" spans="1:8" s="15" customFormat="1" x14ac:dyDescent="0.15">
      <c r="A314" s="7"/>
      <c r="B314" s="31"/>
      <c r="C314" s="11"/>
      <c r="D314" s="11"/>
      <c r="E314" s="8"/>
      <c r="F314" s="9"/>
      <c r="G314" s="10"/>
      <c r="H314" s="10"/>
    </row>
    <row r="315" spans="1:8" s="15" customFormat="1" x14ac:dyDescent="0.15">
      <c r="A315" s="7"/>
      <c r="B315" s="31"/>
      <c r="C315" s="11"/>
      <c r="D315" s="11"/>
      <c r="E315" s="8"/>
      <c r="F315" s="9"/>
      <c r="G315" s="10"/>
      <c r="H315" s="10"/>
    </row>
    <row r="316" spans="1:8" s="15" customFormat="1" x14ac:dyDescent="0.15">
      <c r="A316" s="7"/>
      <c r="B316" s="31"/>
      <c r="C316" s="11"/>
      <c r="D316" s="11"/>
      <c r="E316" s="8"/>
      <c r="F316" s="9"/>
      <c r="G316" s="10"/>
      <c r="H316" s="10"/>
    </row>
    <row r="317" spans="1:8" s="15" customFormat="1" x14ac:dyDescent="0.15">
      <c r="A317" s="7"/>
      <c r="B317" s="31"/>
      <c r="C317" s="11"/>
      <c r="D317" s="11"/>
      <c r="E317" s="8"/>
      <c r="F317" s="9"/>
      <c r="G317" s="10"/>
      <c r="H317" s="10"/>
    </row>
    <row r="318" spans="1:8" s="15" customFormat="1" x14ac:dyDescent="0.15">
      <c r="A318" s="7"/>
      <c r="B318" s="31"/>
      <c r="C318" s="11"/>
      <c r="D318" s="11"/>
      <c r="E318" s="8"/>
      <c r="F318" s="9"/>
      <c r="G318" s="10"/>
      <c r="H318" s="10"/>
    </row>
    <row r="319" spans="1:8" s="15" customFormat="1" x14ac:dyDescent="0.15">
      <c r="A319" s="7"/>
      <c r="B319" s="31"/>
      <c r="C319" s="11"/>
      <c r="D319" s="11"/>
      <c r="E319" s="8"/>
      <c r="F319" s="9"/>
      <c r="G319" s="10"/>
      <c r="H319" s="10"/>
    </row>
    <row r="320" spans="1:8" s="15" customFormat="1" x14ac:dyDescent="0.15">
      <c r="A320" s="7"/>
      <c r="B320" s="31"/>
      <c r="C320" s="11"/>
      <c r="D320" s="11"/>
      <c r="E320" s="8"/>
      <c r="F320" s="9"/>
      <c r="G320" s="10"/>
      <c r="H320" s="10"/>
    </row>
    <row r="321" spans="1:8" s="15" customFormat="1" x14ac:dyDescent="0.15">
      <c r="A321" s="7"/>
      <c r="B321" s="31"/>
      <c r="C321" s="11"/>
      <c r="D321" s="11"/>
      <c r="E321" s="8"/>
      <c r="F321" s="9"/>
      <c r="G321" s="10"/>
      <c r="H321" s="10"/>
    </row>
    <row r="322" spans="1:8" s="15" customFormat="1" x14ac:dyDescent="0.15">
      <c r="A322" s="7"/>
      <c r="B322" s="31"/>
      <c r="C322" s="11"/>
      <c r="D322" s="11"/>
      <c r="E322" s="8"/>
      <c r="F322" s="9"/>
      <c r="G322" s="10"/>
      <c r="H322" s="10"/>
    </row>
    <row r="323" spans="1:8" s="15" customFormat="1" x14ac:dyDescent="0.15">
      <c r="A323" s="7"/>
      <c r="B323" s="31"/>
      <c r="C323" s="11"/>
      <c r="D323" s="11"/>
      <c r="E323" s="8"/>
      <c r="F323" s="9"/>
      <c r="G323" s="10"/>
      <c r="H323" s="10"/>
    </row>
    <row r="324" spans="1:8" s="15" customFormat="1" x14ac:dyDescent="0.15">
      <c r="A324" s="7"/>
      <c r="B324" s="31"/>
      <c r="C324" s="11"/>
      <c r="D324" s="11"/>
      <c r="E324" s="8"/>
      <c r="F324" s="9"/>
      <c r="G324" s="10"/>
      <c r="H324" s="10"/>
    </row>
    <row r="325" spans="1:8" s="15" customFormat="1" x14ac:dyDescent="0.15">
      <c r="A325" s="7"/>
      <c r="B325" s="31"/>
      <c r="C325" s="11"/>
      <c r="D325" s="11"/>
      <c r="E325" s="8"/>
      <c r="F325" s="9"/>
      <c r="G325" s="10"/>
      <c r="H325" s="10"/>
    </row>
    <row r="326" spans="1:8" s="15" customFormat="1" x14ac:dyDescent="0.15">
      <c r="A326" s="7"/>
      <c r="B326" s="31"/>
      <c r="C326" s="11"/>
      <c r="D326" s="11"/>
      <c r="E326" s="8"/>
      <c r="F326" s="9"/>
      <c r="G326" s="10"/>
      <c r="H326" s="10"/>
    </row>
    <row r="327" spans="1:8" s="15" customFormat="1" x14ac:dyDescent="0.15">
      <c r="A327" s="7"/>
      <c r="B327" s="31"/>
      <c r="C327" s="11"/>
      <c r="D327" s="11"/>
      <c r="E327" s="8"/>
      <c r="F327" s="9"/>
      <c r="G327" s="10"/>
      <c r="H327" s="10"/>
    </row>
    <row r="328" spans="1:8" s="15" customFormat="1" x14ac:dyDescent="0.15">
      <c r="A328" s="7"/>
      <c r="B328" s="31"/>
      <c r="C328" s="11"/>
      <c r="D328" s="11"/>
      <c r="E328" s="8"/>
      <c r="F328" s="9"/>
      <c r="G328" s="10"/>
      <c r="H328" s="10"/>
    </row>
    <row r="329" spans="1:8" s="15" customFormat="1" x14ac:dyDescent="0.15">
      <c r="A329" s="7"/>
      <c r="B329" s="31"/>
      <c r="C329" s="11"/>
      <c r="D329" s="11"/>
      <c r="E329" s="8"/>
      <c r="F329" s="9"/>
      <c r="G329" s="10"/>
      <c r="H329" s="10"/>
    </row>
    <row r="330" spans="1:8" s="15" customFormat="1" x14ac:dyDescent="0.15">
      <c r="A330" s="7"/>
      <c r="B330" s="31"/>
      <c r="C330" s="11"/>
      <c r="D330" s="11"/>
      <c r="E330" s="8"/>
      <c r="F330" s="9"/>
      <c r="G330" s="10"/>
      <c r="H330" s="10"/>
    </row>
    <row r="331" spans="1:8" s="15" customFormat="1" x14ac:dyDescent="0.15">
      <c r="A331" s="7"/>
      <c r="B331" s="31"/>
      <c r="C331" s="11"/>
      <c r="D331" s="11"/>
      <c r="E331" s="8"/>
      <c r="F331" s="9"/>
      <c r="G331" s="10"/>
      <c r="H331" s="10"/>
    </row>
    <row r="332" spans="1:8" s="15" customFormat="1" x14ac:dyDescent="0.15">
      <c r="A332" s="7"/>
      <c r="B332" s="31"/>
      <c r="C332" s="11"/>
      <c r="D332" s="11"/>
      <c r="E332" s="8"/>
      <c r="F332" s="9"/>
      <c r="G332" s="10"/>
      <c r="H332" s="10"/>
    </row>
    <row r="333" spans="1:8" s="15" customFormat="1" x14ac:dyDescent="0.15">
      <c r="A333" s="7"/>
      <c r="B333" s="31"/>
      <c r="C333" s="11"/>
      <c r="D333" s="11"/>
      <c r="E333" s="8"/>
      <c r="F333" s="9"/>
      <c r="G333" s="10"/>
      <c r="H333" s="10"/>
    </row>
    <row r="334" spans="1:8" s="15" customFormat="1" x14ac:dyDescent="0.15">
      <c r="A334" s="7"/>
      <c r="B334" s="31"/>
      <c r="C334" s="11"/>
      <c r="D334" s="11"/>
      <c r="E334" s="8"/>
      <c r="F334" s="9"/>
      <c r="G334" s="10"/>
      <c r="H334" s="10"/>
    </row>
    <row r="335" spans="1:8" s="15" customFormat="1" x14ac:dyDescent="0.15">
      <c r="A335" s="7"/>
      <c r="B335" s="31"/>
      <c r="C335" s="11"/>
      <c r="D335" s="11"/>
      <c r="E335" s="8"/>
      <c r="F335" s="9"/>
      <c r="G335" s="10"/>
      <c r="H335" s="10"/>
    </row>
    <row r="336" spans="1:8" s="15" customFormat="1" x14ac:dyDescent="0.15">
      <c r="A336" s="7"/>
      <c r="B336" s="31"/>
      <c r="C336" s="11"/>
      <c r="D336" s="11"/>
      <c r="E336" s="8"/>
      <c r="F336" s="9"/>
      <c r="G336" s="10"/>
      <c r="H336" s="10"/>
    </row>
    <row r="337" spans="1:8" s="15" customFormat="1" x14ac:dyDescent="0.15">
      <c r="A337" s="7"/>
      <c r="B337" s="31"/>
      <c r="C337" s="11"/>
      <c r="D337" s="11"/>
      <c r="E337" s="8"/>
      <c r="F337" s="9"/>
      <c r="G337" s="10"/>
      <c r="H337" s="10"/>
    </row>
    <row r="338" spans="1:8" s="15" customFormat="1" x14ac:dyDescent="0.15">
      <c r="A338" s="7"/>
      <c r="B338" s="31"/>
      <c r="C338" s="11"/>
      <c r="D338" s="11"/>
      <c r="E338" s="8"/>
      <c r="F338" s="9"/>
      <c r="G338" s="10"/>
      <c r="H338" s="10"/>
    </row>
    <row r="339" spans="1:8" s="15" customFormat="1" x14ac:dyDescent="0.15">
      <c r="A339" s="7"/>
      <c r="B339" s="31"/>
      <c r="C339" s="11"/>
      <c r="D339" s="11"/>
      <c r="E339" s="8"/>
      <c r="F339" s="9"/>
      <c r="G339" s="10"/>
      <c r="H339" s="10"/>
    </row>
    <row r="340" spans="1:8" s="15" customFormat="1" x14ac:dyDescent="0.15">
      <c r="A340" s="7"/>
      <c r="B340" s="31"/>
      <c r="C340" s="11"/>
      <c r="D340" s="11"/>
      <c r="E340" s="8"/>
      <c r="F340" s="9"/>
      <c r="G340" s="10"/>
      <c r="H340" s="10"/>
    </row>
    <row r="341" spans="1:8" s="15" customFormat="1" x14ac:dyDescent="0.15">
      <c r="A341" s="7"/>
      <c r="B341" s="31"/>
      <c r="C341" s="11"/>
      <c r="D341" s="11"/>
      <c r="E341" s="8"/>
      <c r="F341" s="9"/>
      <c r="G341" s="10"/>
      <c r="H341" s="10"/>
    </row>
    <row r="342" spans="1:8" s="15" customFormat="1" x14ac:dyDescent="0.15">
      <c r="A342" s="7"/>
      <c r="B342" s="31"/>
      <c r="C342" s="11"/>
      <c r="D342" s="11"/>
      <c r="E342" s="8"/>
      <c r="F342" s="9"/>
      <c r="G342" s="10"/>
      <c r="H342" s="10"/>
    </row>
    <row r="343" spans="1:8" s="15" customFormat="1" x14ac:dyDescent="0.15">
      <c r="A343" s="7"/>
      <c r="B343" s="31"/>
      <c r="C343" s="11"/>
      <c r="D343" s="11"/>
      <c r="E343" s="8"/>
      <c r="F343" s="9"/>
      <c r="G343" s="10"/>
      <c r="H343" s="10"/>
    </row>
    <row r="344" spans="1:8" s="15" customFormat="1" x14ac:dyDescent="0.15">
      <c r="A344" s="7"/>
      <c r="B344" s="31"/>
      <c r="C344" s="11"/>
      <c r="D344" s="11"/>
      <c r="E344" s="8"/>
      <c r="F344" s="9"/>
      <c r="G344" s="10"/>
      <c r="H344" s="10"/>
    </row>
    <row r="345" spans="1:8" s="15" customFormat="1" x14ac:dyDescent="0.15">
      <c r="A345" s="7"/>
      <c r="B345" s="31"/>
      <c r="C345" s="11"/>
      <c r="D345" s="11"/>
      <c r="E345" s="8"/>
      <c r="F345" s="9"/>
      <c r="G345" s="10"/>
      <c r="H345" s="10"/>
    </row>
    <row r="346" spans="1:8" s="15" customFormat="1" x14ac:dyDescent="0.15">
      <c r="A346" s="7"/>
      <c r="B346" s="31"/>
      <c r="C346" s="11"/>
      <c r="D346" s="11"/>
      <c r="E346" s="8"/>
      <c r="F346" s="9"/>
      <c r="G346" s="10"/>
      <c r="H346" s="10"/>
    </row>
    <row r="347" spans="1:8" s="15" customFormat="1" x14ac:dyDescent="0.15">
      <c r="A347" s="7"/>
      <c r="B347" s="31"/>
      <c r="C347" s="11"/>
      <c r="D347" s="11"/>
      <c r="E347" s="8"/>
      <c r="F347" s="9"/>
      <c r="G347" s="10"/>
      <c r="H347" s="10"/>
    </row>
    <row r="348" spans="1:8" s="15" customFormat="1" x14ac:dyDescent="0.15">
      <c r="A348" s="7"/>
      <c r="B348" s="31"/>
      <c r="C348" s="11"/>
      <c r="D348" s="11"/>
      <c r="E348" s="8"/>
      <c r="F348" s="9"/>
      <c r="G348" s="10"/>
      <c r="H348" s="10"/>
    </row>
    <row r="349" spans="1:8" s="15" customFormat="1" x14ac:dyDescent="0.15">
      <c r="A349" s="7"/>
      <c r="B349" s="31"/>
      <c r="C349" s="11"/>
      <c r="D349" s="11"/>
      <c r="E349" s="8"/>
      <c r="F349" s="9"/>
      <c r="G349" s="10"/>
      <c r="H349" s="10"/>
    </row>
    <row r="350" spans="1:8" s="15" customFormat="1" x14ac:dyDescent="0.15">
      <c r="A350" s="7"/>
      <c r="B350" s="31"/>
      <c r="C350" s="11"/>
      <c r="D350" s="11"/>
      <c r="E350" s="8"/>
      <c r="F350" s="9"/>
      <c r="G350" s="10"/>
      <c r="H350" s="10"/>
    </row>
    <row r="351" spans="1:8" s="15" customFormat="1" x14ac:dyDescent="0.15">
      <c r="A351" s="7"/>
      <c r="B351" s="31"/>
      <c r="C351" s="11"/>
      <c r="D351" s="11"/>
      <c r="E351" s="8"/>
      <c r="F351" s="9"/>
      <c r="G351" s="10"/>
      <c r="H351" s="10"/>
    </row>
    <row r="352" spans="1:8" s="15" customFormat="1" x14ac:dyDescent="0.15">
      <c r="A352" s="7"/>
      <c r="B352" s="31"/>
      <c r="C352" s="11"/>
      <c r="D352" s="11"/>
      <c r="E352" s="8"/>
      <c r="F352" s="9"/>
      <c r="G352" s="10"/>
      <c r="H352" s="10"/>
    </row>
    <row r="353" spans="1:8" s="15" customFormat="1" x14ac:dyDescent="0.15">
      <c r="A353" s="7"/>
      <c r="B353" s="31"/>
      <c r="C353" s="11"/>
      <c r="D353" s="11"/>
      <c r="E353" s="8"/>
      <c r="F353" s="9"/>
      <c r="G353" s="10"/>
      <c r="H353" s="10"/>
    </row>
    <row r="354" spans="1:8" s="15" customFormat="1" x14ac:dyDescent="0.15">
      <c r="A354" s="7"/>
      <c r="B354" s="31"/>
      <c r="C354" s="11"/>
      <c r="D354" s="11"/>
      <c r="E354" s="8"/>
      <c r="F354" s="9"/>
      <c r="G354" s="10"/>
      <c r="H354" s="10"/>
    </row>
    <row r="355" spans="1:8" s="15" customFormat="1" x14ac:dyDescent="0.15">
      <c r="A355" s="7"/>
      <c r="B355" s="31"/>
      <c r="C355" s="11"/>
      <c r="D355" s="11"/>
      <c r="E355" s="8"/>
      <c r="F355" s="9"/>
      <c r="G355" s="10"/>
      <c r="H355" s="10"/>
    </row>
    <row r="356" spans="1:8" s="15" customFormat="1" x14ac:dyDescent="0.15">
      <c r="A356" s="7"/>
      <c r="B356" s="31"/>
      <c r="C356" s="11"/>
      <c r="D356" s="11"/>
      <c r="E356" s="8"/>
      <c r="F356" s="9"/>
      <c r="G356" s="10"/>
      <c r="H356" s="10"/>
    </row>
    <row r="357" spans="1:8" s="15" customFormat="1" x14ac:dyDescent="0.15">
      <c r="A357" s="7"/>
      <c r="B357" s="31"/>
      <c r="C357" s="11"/>
      <c r="D357" s="11"/>
      <c r="E357" s="8"/>
      <c r="F357" s="9"/>
      <c r="G357" s="10"/>
      <c r="H357" s="10"/>
    </row>
    <row r="358" spans="1:8" s="15" customFormat="1" x14ac:dyDescent="0.15">
      <c r="A358" s="7"/>
      <c r="B358" s="31"/>
      <c r="C358" s="11"/>
      <c r="D358" s="11"/>
      <c r="E358" s="8"/>
      <c r="F358" s="9"/>
      <c r="G358" s="10"/>
      <c r="H358" s="10"/>
    </row>
    <row r="359" spans="1:8" s="15" customFormat="1" x14ac:dyDescent="0.15">
      <c r="A359" s="7"/>
      <c r="B359" s="31"/>
      <c r="C359" s="11"/>
      <c r="D359" s="11"/>
      <c r="E359" s="8"/>
      <c r="F359" s="9"/>
      <c r="G359" s="10"/>
      <c r="H359" s="10"/>
    </row>
    <row r="360" spans="1:8" s="15" customFormat="1" x14ac:dyDescent="0.15">
      <c r="A360" s="7"/>
      <c r="B360" s="31"/>
      <c r="C360" s="11"/>
      <c r="D360" s="11"/>
      <c r="E360" s="8"/>
      <c r="F360" s="9"/>
      <c r="G360" s="10"/>
      <c r="H360" s="10"/>
    </row>
    <row r="361" spans="1:8" s="15" customFormat="1" x14ac:dyDescent="0.15">
      <c r="A361" s="7"/>
      <c r="B361" s="31"/>
      <c r="C361" s="11"/>
      <c r="D361" s="11"/>
      <c r="E361" s="8"/>
      <c r="F361" s="9"/>
      <c r="G361" s="10"/>
      <c r="H361" s="10"/>
    </row>
    <row r="362" spans="1:8" s="15" customFormat="1" x14ac:dyDescent="0.15">
      <c r="A362" s="7"/>
      <c r="B362" s="31"/>
      <c r="C362" s="11"/>
      <c r="D362" s="11"/>
      <c r="E362" s="8"/>
      <c r="F362" s="9"/>
      <c r="G362" s="10"/>
      <c r="H362" s="10"/>
    </row>
    <row r="363" spans="1:8" s="15" customFormat="1" x14ac:dyDescent="0.15">
      <c r="A363" s="7"/>
      <c r="B363" s="31"/>
      <c r="C363" s="11"/>
      <c r="D363" s="11"/>
      <c r="E363" s="8"/>
      <c r="F363" s="9"/>
      <c r="G363" s="10"/>
      <c r="H363" s="10"/>
    </row>
    <row r="364" spans="1:8" s="15" customFormat="1" x14ac:dyDescent="0.15">
      <c r="A364" s="7"/>
      <c r="B364" s="31"/>
      <c r="C364" s="11"/>
      <c r="D364" s="11"/>
      <c r="E364" s="8"/>
      <c r="F364" s="9"/>
      <c r="G364" s="10"/>
      <c r="H364" s="10"/>
    </row>
    <row r="365" spans="1:8" s="15" customFormat="1" x14ac:dyDescent="0.15">
      <c r="A365" s="7"/>
      <c r="B365" s="31"/>
      <c r="C365" s="11"/>
      <c r="D365" s="11"/>
      <c r="E365" s="8"/>
      <c r="F365" s="9"/>
      <c r="G365" s="10"/>
      <c r="H365" s="10"/>
    </row>
    <row r="366" spans="1:8" s="15" customFormat="1" x14ac:dyDescent="0.15">
      <c r="A366" s="7"/>
      <c r="B366" s="31"/>
      <c r="C366" s="11"/>
      <c r="D366" s="11"/>
      <c r="E366" s="8"/>
      <c r="F366" s="9"/>
      <c r="G366" s="10"/>
      <c r="H366" s="10"/>
    </row>
    <row r="367" spans="1:8" s="15" customFormat="1" x14ac:dyDescent="0.15">
      <c r="A367" s="7"/>
      <c r="B367" s="31"/>
      <c r="C367" s="11"/>
      <c r="D367" s="11"/>
      <c r="E367" s="8"/>
      <c r="F367" s="9"/>
      <c r="G367" s="10"/>
      <c r="H367" s="10"/>
    </row>
    <row r="368" spans="1:8" s="15" customFormat="1" x14ac:dyDescent="0.15">
      <c r="A368" s="7"/>
      <c r="B368" s="31"/>
      <c r="C368" s="11"/>
      <c r="D368" s="11"/>
      <c r="E368" s="8"/>
      <c r="F368" s="9"/>
      <c r="G368" s="10"/>
      <c r="H368" s="10"/>
    </row>
    <row r="369" spans="1:8" s="15" customFormat="1" x14ac:dyDescent="0.15">
      <c r="A369" s="7"/>
      <c r="B369" s="31"/>
      <c r="C369" s="11"/>
      <c r="D369" s="11"/>
      <c r="E369" s="8"/>
      <c r="F369" s="9"/>
      <c r="G369" s="10"/>
      <c r="H369" s="10"/>
    </row>
    <row r="370" spans="1:8" s="15" customFormat="1" x14ac:dyDescent="0.15">
      <c r="A370" s="7"/>
      <c r="B370" s="31"/>
      <c r="C370" s="11"/>
      <c r="D370" s="11"/>
      <c r="E370" s="8"/>
      <c r="F370" s="9"/>
      <c r="G370" s="10"/>
      <c r="H370" s="10"/>
    </row>
    <row r="371" spans="1:8" s="15" customFormat="1" x14ac:dyDescent="0.15">
      <c r="A371" s="7"/>
      <c r="B371" s="31"/>
      <c r="C371" s="11"/>
      <c r="D371" s="11"/>
      <c r="E371" s="8"/>
      <c r="F371" s="9"/>
      <c r="G371" s="10"/>
      <c r="H371" s="10"/>
    </row>
    <row r="372" spans="1:8" s="15" customFormat="1" x14ac:dyDescent="0.15">
      <c r="A372" s="7"/>
      <c r="B372" s="31"/>
      <c r="C372" s="11"/>
      <c r="D372" s="11"/>
      <c r="E372" s="8"/>
      <c r="F372" s="9"/>
      <c r="G372" s="10"/>
      <c r="H372" s="10"/>
    </row>
    <row r="373" spans="1:8" s="15" customFormat="1" x14ac:dyDescent="0.15">
      <c r="A373" s="7"/>
      <c r="B373" s="31"/>
      <c r="C373" s="11"/>
      <c r="D373" s="11"/>
      <c r="E373" s="8"/>
      <c r="F373" s="9"/>
      <c r="G373" s="10"/>
      <c r="H373" s="10"/>
    </row>
    <row r="374" spans="1:8" s="15" customFormat="1" x14ac:dyDescent="0.15">
      <c r="A374" s="7"/>
      <c r="B374" s="31"/>
      <c r="C374" s="11"/>
      <c r="D374" s="11"/>
      <c r="E374" s="8"/>
      <c r="F374" s="9"/>
      <c r="G374" s="10"/>
      <c r="H374" s="10"/>
    </row>
    <row r="375" spans="1:8" s="15" customFormat="1" x14ac:dyDescent="0.15">
      <c r="A375" s="7"/>
      <c r="B375" s="31"/>
      <c r="C375" s="11"/>
      <c r="D375" s="11"/>
      <c r="E375" s="8"/>
      <c r="F375" s="9"/>
      <c r="G375" s="10"/>
      <c r="H375" s="10"/>
    </row>
    <row r="376" spans="1:8" s="15" customFormat="1" x14ac:dyDescent="0.15">
      <c r="A376" s="7"/>
      <c r="B376" s="31"/>
      <c r="C376" s="11"/>
      <c r="D376" s="11"/>
      <c r="E376" s="8"/>
      <c r="F376" s="9"/>
      <c r="G376" s="10"/>
      <c r="H376" s="10"/>
    </row>
    <row r="377" spans="1:8" s="15" customFormat="1" x14ac:dyDescent="0.15">
      <c r="A377" s="7"/>
      <c r="B377" s="31"/>
      <c r="C377" s="11"/>
      <c r="D377" s="11"/>
      <c r="E377" s="8"/>
      <c r="F377" s="9"/>
      <c r="G377" s="10"/>
      <c r="H377" s="10"/>
    </row>
    <row r="378" spans="1:8" s="15" customFormat="1" x14ac:dyDescent="0.15">
      <c r="A378" s="7"/>
      <c r="B378" s="31"/>
      <c r="C378" s="11"/>
      <c r="D378" s="11"/>
      <c r="E378" s="8"/>
      <c r="F378" s="9"/>
      <c r="G378" s="10"/>
      <c r="H378" s="10"/>
    </row>
    <row r="379" spans="1:8" s="15" customFormat="1" x14ac:dyDescent="0.15">
      <c r="A379" s="7"/>
      <c r="B379" s="31"/>
      <c r="C379" s="11"/>
      <c r="D379" s="11"/>
      <c r="E379" s="8"/>
      <c r="F379" s="9"/>
      <c r="G379" s="10"/>
      <c r="H379" s="10"/>
    </row>
    <row r="380" spans="1:8" s="15" customFormat="1" x14ac:dyDescent="0.15">
      <c r="A380" s="7"/>
      <c r="B380" s="31"/>
      <c r="C380" s="11"/>
      <c r="D380" s="11"/>
      <c r="E380" s="8"/>
      <c r="F380" s="9"/>
      <c r="G380" s="10"/>
      <c r="H380" s="10"/>
    </row>
    <row r="381" spans="1:8" s="15" customFormat="1" x14ac:dyDescent="0.15">
      <c r="A381" s="7"/>
      <c r="B381" s="31"/>
      <c r="C381" s="11"/>
      <c r="D381" s="11"/>
      <c r="E381" s="8"/>
      <c r="F381" s="9"/>
      <c r="G381" s="10"/>
      <c r="H381" s="10"/>
    </row>
    <row r="382" spans="1:8" s="15" customFormat="1" x14ac:dyDescent="0.15">
      <c r="A382" s="7"/>
      <c r="B382" s="31"/>
      <c r="C382" s="11"/>
      <c r="D382" s="11"/>
      <c r="E382" s="8"/>
      <c r="F382" s="9"/>
      <c r="G382" s="10"/>
      <c r="H382" s="10"/>
    </row>
    <row r="383" spans="1:8" s="15" customFormat="1" x14ac:dyDescent="0.15">
      <c r="A383" s="7"/>
      <c r="B383" s="31"/>
      <c r="C383" s="11"/>
      <c r="D383" s="11"/>
      <c r="E383" s="8"/>
      <c r="F383" s="9"/>
      <c r="G383" s="10"/>
      <c r="H383" s="10"/>
    </row>
    <row r="384" spans="1:8" s="15" customFormat="1" x14ac:dyDescent="0.15">
      <c r="A384" s="7"/>
      <c r="B384" s="31"/>
      <c r="C384" s="11"/>
      <c r="D384" s="11"/>
      <c r="E384" s="8"/>
      <c r="F384" s="9"/>
      <c r="G384" s="10"/>
      <c r="H384" s="10"/>
    </row>
    <row r="385" spans="1:9" s="15" customFormat="1" x14ac:dyDescent="0.15">
      <c r="A385" s="7"/>
      <c r="B385" s="31"/>
      <c r="C385" s="11"/>
      <c r="D385" s="11"/>
      <c r="E385" s="8"/>
      <c r="F385" s="9"/>
      <c r="G385" s="10"/>
      <c r="H385" s="10"/>
    </row>
    <row r="386" spans="1:9" s="15" customFormat="1" x14ac:dyDescent="0.15">
      <c r="A386" s="7"/>
      <c r="B386" s="31"/>
      <c r="C386" s="11"/>
      <c r="D386" s="11"/>
      <c r="E386" s="8"/>
      <c r="F386" s="9"/>
      <c r="G386" s="10"/>
      <c r="H386" s="10"/>
      <c r="I386" s="11"/>
    </row>
    <row r="387" spans="1:9" s="15" customFormat="1" x14ac:dyDescent="0.15">
      <c r="A387" s="7"/>
      <c r="B387" s="31"/>
      <c r="C387" s="11"/>
      <c r="D387" s="11"/>
      <c r="E387" s="8"/>
      <c r="F387" s="9"/>
      <c r="G387" s="10"/>
      <c r="H387" s="10"/>
      <c r="I387" s="11"/>
    </row>
    <row r="388" spans="1:9" s="15" customFormat="1" x14ac:dyDescent="0.15">
      <c r="A388" s="7"/>
      <c r="B388" s="31"/>
      <c r="C388" s="11"/>
      <c r="D388" s="11"/>
      <c r="E388" s="8"/>
      <c r="F388" s="9"/>
      <c r="G388" s="10"/>
      <c r="H388" s="10"/>
      <c r="I388" s="11"/>
    </row>
    <row r="389" spans="1:9" s="15" customFormat="1" x14ac:dyDescent="0.15">
      <c r="A389" s="7"/>
      <c r="B389" s="31"/>
      <c r="C389" s="11"/>
      <c r="D389" s="11"/>
      <c r="E389" s="8"/>
      <c r="F389" s="9"/>
      <c r="G389" s="10"/>
      <c r="H389" s="10"/>
      <c r="I389" s="11"/>
    </row>
    <row r="390" spans="1:9" s="15" customFormat="1" x14ac:dyDescent="0.15">
      <c r="A390" s="7"/>
      <c r="B390" s="31"/>
      <c r="C390" s="11"/>
      <c r="D390" s="11"/>
      <c r="E390" s="8"/>
      <c r="F390" s="9"/>
      <c r="G390" s="10"/>
      <c r="H390" s="10"/>
      <c r="I390" s="11"/>
    </row>
    <row r="391" spans="1:9" s="15" customFormat="1" x14ac:dyDescent="0.15">
      <c r="A391" s="7"/>
      <c r="B391" s="31"/>
      <c r="C391" s="11"/>
      <c r="D391" s="11"/>
      <c r="E391" s="8"/>
      <c r="F391" s="9"/>
      <c r="G391" s="10"/>
      <c r="H391" s="10"/>
      <c r="I391" s="11"/>
    </row>
    <row r="392" spans="1:9" s="15" customFormat="1" x14ac:dyDescent="0.15">
      <c r="A392" s="7"/>
      <c r="B392" s="31"/>
      <c r="C392" s="11"/>
      <c r="D392" s="11"/>
      <c r="E392" s="8"/>
      <c r="F392" s="9"/>
      <c r="G392" s="10"/>
      <c r="H392" s="10"/>
      <c r="I392" s="11"/>
    </row>
    <row r="393" spans="1:9" s="15" customFormat="1" x14ac:dyDescent="0.15">
      <c r="A393" s="7"/>
      <c r="B393" s="31"/>
      <c r="C393" s="11"/>
      <c r="D393" s="11"/>
      <c r="E393" s="8"/>
      <c r="F393" s="9"/>
      <c r="G393" s="10"/>
      <c r="H393" s="10"/>
      <c r="I393" s="11"/>
    </row>
    <row r="394" spans="1:9" s="15" customFormat="1" x14ac:dyDescent="0.15">
      <c r="A394" s="7"/>
      <c r="B394" s="31"/>
      <c r="C394" s="11"/>
      <c r="D394" s="11"/>
      <c r="E394" s="8"/>
      <c r="F394" s="9"/>
      <c r="G394" s="10"/>
      <c r="H394" s="10"/>
      <c r="I394" s="11"/>
    </row>
    <row r="395" spans="1:9" s="15" customFormat="1" x14ac:dyDescent="0.15">
      <c r="A395" s="7"/>
      <c r="B395" s="31"/>
      <c r="C395" s="11"/>
      <c r="D395" s="11"/>
      <c r="E395" s="8"/>
      <c r="F395" s="9"/>
      <c r="G395" s="10"/>
      <c r="H395" s="10"/>
      <c r="I395" s="11"/>
    </row>
    <row r="396" spans="1:9" s="15" customFormat="1" x14ac:dyDescent="0.15">
      <c r="A396" s="7"/>
      <c r="B396" s="31"/>
      <c r="C396" s="11"/>
      <c r="D396" s="11"/>
      <c r="E396" s="8"/>
      <c r="F396" s="9"/>
      <c r="G396" s="10"/>
      <c r="H396" s="10"/>
      <c r="I396" s="5"/>
    </row>
    <row r="397" spans="1:9" s="15" customFormat="1" x14ac:dyDescent="0.15">
      <c r="A397" s="7"/>
      <c r="B397" s="31"/>
      <c r="C397" s="11"/>
      <c r="D397" s="11"/>
      <c r="E397" s="8"/>
      <c r="F397" s="9"/>
      <c r="G397" s="10"/>
      <c r="H397" s="10"/>
      <c r="I397" s="5"/>
    </row>
    <row r="398" spans="1:9" s="15" customFormat="1" x14ac:dyDescent="0.15">
      <c r="A398" s="7"/>
      <c r="B398" s="31"/>
      <c r="C398" s="11"/>
      <c r="D398" s="11"/>
      <c r="E398" s="8"/>
      <c r="F398" s="9"/>
      <c r="G398" s="10"/>
      <c r="H398" s="10"/>
      <c r="I398" s="5"/>
    </row>
    <row r="399" spans="1:9" s="15" customFormat="1" x14ac:dyDescent="0.15">
      <c r="A399" s="7"/>
      <c r="B399" s="31"/>
      <c r="C399" s="11"/>
      <c r="D399" s="11"/>
      <c r="E399" s="8"/>
      <c r="F399" s="9"/>
      <c r="G399" s="10"/>
      <c r="H399" s="10"/>
      <c r="I399" s="5"/>
    </row>
    <row r="400" spans="1:9" s="15" customFormat="1" x14ac:dyDescent="0.15">
      <c r="A400" s="7"/>
      <c r="B400" s="31"/>
      <c r="C400" s="11"/>
      <c r="D400" s="11"/>
      <c r="E400" s="8"/>
      <c r="F400" s="9"/>
      <c r="G400" s="10"/>
      <c r="H400" s="10"/>
      <c r="I400" s="5"/>
    </row>
    <row r="401" spans="1:9" s="15" customFormat="1" x14ac:dyDescent="0.15">
      <c r="A401" s="7"/>
      <c r="B401" s="31"/>
      <c r="C401" s="11"/>
      <c r="D401" s="11"/>
      <c r="E401" s="8"/>
      <c r="F401" s="9"/>
      <c r="G401" s="10"/>
      <c r="H401" s="10"/>
      <c r="I401" s="5"/>
    </row>
    <row r="402" spans="1:9" s="15" customFormat="1" x14ac:dyDescent="0.15">
      <c r="A402" s="7"/>
      <c r="B402" s="31"/>
      <c r="C402" s="11"/>
      <c r="D402" s="11"/>
      <c r="E402" s="8"/>
      <c r="F402" s="9"/>
      <c r="G402" s="10"/>
      <c r="H402" s="10"/>
      <c r="I402" s="5"/>
    </row>
    <row r="403" spans="1:9" s="15" customFormat="1" x14ac:dyDescent="0.15">
      <c r="A403" s="7"/>
      <c r="B403" s="31"/>
      <c r="C403" s="11"/>
      <c r="D403" s="11"/>
      <c r="E403" s="8"/>
      <c r="F403" s="9"/>
      <c r="G403" s="10"/>
      <c r="H403" s="10"/>
      <c r="I403" s="5"/>
    </row>
    <row r="404" spans="1:9" s="15" customFormat="1" x14ac:dyDescent="0.15">
      <c r="A404" s="7"/>
      <c r="B404" s="31"/>
      <c r="C404" s="11"/>
      <c r="D404" s="11"/>
      <c r="E404" s="8"/>
      <c r="F404" s="9"/>
      <c r="G404" s="10"/>
      <c r="H404" s="10"/>
      <c r="I404" s="5"/>
    </row>
    <row r="405" spans="1:9" x14ac:dyDescent="0.15">
      <c r="B405" s="31"/>
      <c r="C405" s="11"/>
      <c r="D405" s="11"/>
      <c r="H405" s="10"/>
      <c r="I405" s="5"/>
    </row>
    <row r="406" spans="1:9" x14ac:dyDescent="0.15">
      <c r="B406" s="31"/>
      <c r="C406" s="11"/>
      <c r="D406" s="11"/>
      <c r="H406" s="10"/>
      <c r="I406" s="5"/>
    </row>
    <row r="407" spans="1:9" x14ac:dyDescent="0.15">
      <c r="B407" s="31"/>
      <c r="C407" s="11"/>
      <c r="D407" s="11"/>
      <c r="H407" s="10"/>
      <c r="I407" s="5"/>
    </row>
    <row r="408" spans="1:9" x14ac:dyDescent="0.15">
      <c r="B408" s="31"/>
      <c r="C408" s="11"/>
      <c r="D408" s="11"/>
      <c r="H408" s="10"/>
      <c r="I408" s="5"/>
    </row>
    <row r="409" spans="1:9" x14ac:dyDescent="0.15">
      <c r="B409" s="31"/>
      <c r="C409" s="11"/>
      <c r="D409" s="11"/>
      <c r="H409" s="10"/>
      <c r="I409" s="5"/>
    </row>
    <row r="410" spans="1:9" x14ac:dyDescent="0.15">
      <c r="B410" s="31"/>
      <c r="C410" s="11"/>
      <c r="D410" s="11"/>
      <c r="H410" s="10"/>
      <c r="I410" s="5"/>
    </row>
    <row r="411" spans="1:9" x14ac:dyDescent="0.15">
      <c r="B411" s="31"/>
      <c r="C411" s="11"/>
      <c r="D411" s="11"/>
      <c r="H411" s="10"/>
      <c r="I411" s="5"/>
    </row>
    <row r="412" spans="1:9" x14ac:dyDescent="0.15">
      <c r="C412" s="11"/>
      <c r="D412" s="11"/>
      <c r="I412" s="5"/>
    </row>
    <row r="413" spans="1:9" x14ac:dyDescent="0.15">
      <c r="C413" s="11"/>
      <c r="I413" s="5"/>
    </row>
    <row r="414" spans="1:9" x14ac:dyDescent="0.15">
      <c r="C414" s="11"/>
      <c r="I414" s="5"/>
    </row>
    <row r="415" spans="1:9" x14ac:dyDescent="0.15">
      <c r="C415" s="11"/>
      <c r="I415" s="5"/>
    </row>
    <row r="416" spans="1:9" x14ac:dyDescent="0.15">
      <c r="I416" s="5"/>
    </row>
    <row r="417" spans="9:9" x14ac:dyDescent="0.15">
      <c r="I417" s="5"/>
    </row>
    <row r="479" spans="9:9" x14ac:dyDescent="0.15">
      <c r="I479" s="1"/>
    </row>
    <row r="482" spans="1:9" x14ac:dyDescent="0.15">
      <c r="B482" s="31"/>
      <c r="H482" s="10"/>
    </row>
    <row r="488" spans="1:9" s="1" customFormat="1" x14ac:dyDescent="0.15">
      <c r="A488" s="7"/>
      <c r="B488" s="4"/>
      <c r="C488" s="5"/>
      <c r="D488" s="5"/>
      <c r="E488" s="8"/>
      <c r="F488" s="9"/>
      <c r="G488" s="10"/>
      <c r="H488" s="20"/>
      <c r="I488" s="5"/>
    </row>
    <row r="511" spans="9:9" x14ac:dyDescent="0.15">
      <c r="I511" s="1"/>
    </row>
    <row r="512" spans="9:9" x14ac:dyDescent="0.15">
      <c r="I512" s="1"/>
    </row>
    <row r="514" spans="1:9" x14ac:dyDescent="0.15">
      <c r="B514" s="31"/>
      <c r="H514" s="10"/>
    </row>
    <row r="515" spans="1:9" x14ac:dyDescent="0.15">
      <c r="B515" s="31"/>
      <c r="H515" s="10"/>
    </row>
    <row r="520" spans="1:9" s="1" customFormat="1" x14ac:dyDescent="0.15">
      <c r="A520" s="7"/>
      <c r="B520" s="4"/>
      <c r="C520" s="5"/>
      <c r="D520" s="5"/>
      <c r="E520" s="8"/>
      <c r="F520" s="9"/>
      <c r="G520" s="10"/>
      <c r="H520" s="20"/>
      <c r="I520" s="5"/>
    </row>
    <row r="521" spans="1:9" s="1" customFormat="1" x14ac:dyDescent="0.15">
      <c r="A521" s="7"/>
      <c r="B521" s="31"/>
      <c r="C521" s="5"/>
      <c r="D521" s="5"/>
      <c r="E521" s="8"/>
      <c r="F521" s="9"/>
      <c r="G521" s="10"/>
      <c r="H521" s="10"/>
      <c r="I521" s="5"/>
    </row>
    <row r="522" spans="1:9" x14ac:dyDescent="0.15">
      <c r="B522" s="31"/>
      <c r="H522" s="10"/>
    </row>
    <row r="523" spans="1:9" x14ac:dyDescent="0.15">
      <c r="B523" s="31"/>
      <c r="H523" s="10"/>
    </row>
    <row r="524" spans="1:9" x14ac:dyDescent="0.15">
      <c r="B524" s="31"/>
      <c r="H524" s="10"/>
    </row>
    <row r="525" spans="1:9" x14ac:dyDescent="0.15">
      <c r="B525" s="31"/>
      <c r="H525" s="10"/>
    </row>
    <row r="526" spans="1:9" x14ac:dyDescent="0.15">
      <c r="B526" s="31"/>
      <c r="H526" s="10"/>
    </row>
    <row r="527" spans="1:9" x14ac:dyDescent="0.15">
      <c r="I527" s="5"/>
    </row>
    <row r="528" spans="1:9" x14ac:dyDescent="0.15">
      <c r="I528" s="5"/>
    </row>
    <row r="529" spans="1:9" x14ac:dyDescent="0.15">
      <c r="I529" s="5"/>
    </row>
    <row r="530" spans="1:9" x14ac:dyDescent="0.15">
      <c r="B530" s="31"/>
      <c r="H530" s="10"/>
      <c r="I530" s="5"/>
    </row>
    <row r="531" spans="1:9" x14ac:dyDescent="0.15">
      <c r="B531" s="31"/>
      <c r="H531" s="10"/>
      <c r="I531" s="5"/>
    </row>
    <row r="532" spans="1:9" x14ac:dyDescent="0.15">
      <c r="B532" s="31"/>
      <c r="H532" s="10"/>
      <c r="I532" s="5"/>
    </row>
    <row r="533" spans="1:9" x14ac:dyDescent="0.15">
      <c r="B533" s="31"/>
      <c r="H533" s="10"/>
    </row>
    <row r="534" spans="1:9" x14ac:dyDescent="0.15">
      <c r="B534" s="31"/>
      <c r="H534" s="10"/>
    </row>
    <row r="535" spans="1:9" x14ac:dyDescent="0.15">
      <c r="B535" s="31"/>
      <c r="H535" s="10"/>
    </row>
    <row r="536" spans="1:9" s="5" customFormat="1" x14ac:dyDescent="0.15">
      <c r="A536" s="7"/>
      <c r="B536" s="4"/>
      <c r="E536" s="8"/>
      <c r="F536" s="9"/>
      <c r="G536" s="10"/>
      <c r="H536" s="20"/>
    </row>
    <row r="537" spans="1:9" s="5" customFormat="1" x14ac:dyDescent="0.15">
      <c r="A537" s="7"/>
      <c r="B537" s="4"/>
      <c r="E537" s="8"/>
      <c r="F537" s="9"/>
      <c r="G537" s="10"/>
      <c r="H537" s="20"/>
    </row>
    <row r="538" spans="1:9" s="5" customFormat="1" x14ac:dyDescent="0.15">
      <c r="A538" s="7"/>
      <c r="B538" s="4"/>
      <c r="E538" s="8"/>
      <c r="F538" s="9"/>
      <c r="G538" s="10"/>
      <c r="H538" s="20"/>
    </row>
    <row r="539" spans="1:9" s="5" customFormat="1" x14ac:dyDescent="0.15">
      <c r="A539" s="7"/>
      <c r="B539" s="4"/>
      <c r="E539" s="8"/>
      <c r="F539" s="9"/>
      <c r="G539" s="10"/>
      <c r="H539" s="20"/>
    </row>
    <row r="540" spans="1:9" s="5" customFormat="1" x14ac:dyDescent="0.15">
      <c r="A540" s="7"/>
      <c r="B540" s="4"/>
      <c r="E540" s="8"/>
      <c r="F540" s="9"/>
      <c r="G540" s="10"/>
      <c r="H540" s="20"/>
    </row>
    <row r="541" spans="1:9" s="5" customFormat="1" x14ac:dyDescent="0.15">
      <c r="A541" s="7"/>
      <c r="B541" s="4"/>
      <c r="E541" s="8"/>
      <c r="F541" s="9"/>
      <c r="G541" s="10"/>
      <c r="H541" s="20"/>
    </row>
    <row r="576" spans="2:8" x14ac:dyDescent="0.15">
      <c r="B576" s="31"/>
      <c r="H576" s="10"/>
    </row>
    <row r="582" spans="1:9" x14ac:dyDescent="0.15">
      <c r="I582" s="5"/>
    </row>
    <row r="585" spans="1:9" x14ac:dyDescent="0.15">
      <c r="B585" s="31"/>
      <c r="H585" s="10"/>
    </row>
    <row r="591" spans="1:9" s="5" customFormat="1" x14ac:dyDescent="0.15">
      <c r="A591" s="7"/>
      <c r="B591" s="4"/>
      <c r="E591" s="8"/>
      <c r="F591" s="9"/>
      <c r="G591" s="10"/>
      <c r="H591" s="20"/>
    </row>
  </sheetData>
  <printOptions horizontalCentered="1" verticalCentered="1" gridLines="1"/>
  <pageMargins left="0.35433070866141736" right="0.55118110236220474" top="0.74803149606299213" bottom="0.74803149606299213" header="0.39370078740157483" footer="0.39370078740157483"/>
  <pageSetup paperSize="9" scale="76" firstPageNumber="29" orientation="portrait" useFirstPageNumber="1" r:id="rId1"/>
  <headerFooter>
    <oddHeader xml:space="preserve">&amp;L&amp;K608097175 Glasgow Road, Clydebank&amp;R&amp;K608097Terminal Schedule of Dilapidations    </oddHeader>
    <oddFooter>&amp;L&amp;K608097Melville Gomes Associates &amp;C&amp;K608097&amp;P&amp;R&amp;K608097Chartered Building Surveyors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7CE9F-FD8C-4D08-BC09-4FBFBE619BEC}">
  <sheetPr>
    <tabColor theme="3" tint="0.39997558519241921"/>
  </sheetPr>
  <dimension ref="A1:H741"/>
  <sheetViews>
    <sheetView tabSelected="1" view="pageLayout" zoomScale="128" zoomScaleNormal="100" zoomScaleSheetLayoutView="100" zoomScalePageLayoutView="128" workbookViewId="0">
      <selection activeCell="D3" sqref="D3"/>
    </sheetView>
  </sheetViews>
  <sheetFormatPr baseColWidth="10" defaultColWidth="9.83203125" defaultRowHeight="13" x14ac:dyDescent="0.15"/>
  <cols>
    <col min="1" max="1" width="5" style="7" bestFit="1" customWidth="1"/>
    <col min="2" max="2" width="6.83203125" style="4" customWidth="1"/>
    <col min="3" max="3" width="34.83203125" style="5" customWidth="1"/>
    <col min="4" max="4" width="43.83203125" style="5" customWidth="1"/>
    <col min="5" max="5" width="4.33203125" style="8" bestFit="1" customWidth="1"/>
    <col min="6" max="6" width="5.33203125" style="9" bestFit="1" customWidth="1"/>
    <col min="7" max="7" width="7.33203125" style="10" bestFit="1" customWidth="1"/>
    <col min="8" max="8" width="12.33203125" style="20" bestFit="1" customWidth="1"/>
    <col min="9" max="16384" width="9.83203125" style="2"/>
  </cols>
  <sheetData>
    <row r="1" spans="1:8" s="6" customFormat="1" ht="30" x14ac:dyDescent="0.15">
      <c r="A1" s="21" t="s">
        <v>0</v>
      </c>
      <c r="B1" s="22"/>
      <c r="C1" s="23"/>
      <c r="D1" s="23"/>
      <c r="E1" s="23"/>
      <c r="F1" s="24"/>
      <c r="G1" s="25"/>
      <c r="H1" s="25" t="s">
        <v>7</v>
      </c>
    </row>
    <row r="2" spans="1:8" x14ac:dyDescent="0.15">
      <c r="B2" s="31"/>
      <c r="C2" s="1"/>
      <c r="H2" s="10"/>
    </row>
    <row r="3" spans="1:8" ht="14" x14ac:dyDescent="0.15">
      <c r="B3" s="31"/>
      <c r="C3" s="1" t="s">
        <v>40</v>
      </c>
      <c r="H3" s="10"/>
    </row>
    <row r="4" spans="1:8" x14ac:dyDescent="0.15">
      <c r="B4" s="31"/>
      <c r="C4" s="1"/>
      <c r="H4" s="10"/>
    </row>
    <row r="5" spans="1:8" ht="14" x14ac:dyDescent="0.15">
      <c r="A5" s="13"/>
      <c r="B5" s="11"/>
      <c r="C5" s="11" t="s">
        <v>838</v>
      </c>
      <c r="D5" s="11"/>
      <c r="F5" s="8"/>
      <c r="G5" s="8"/>
      <c r="H5" s="10">
        <f>External!H280</f>
        <v>102711.5</v>
      </c>
    </row>
    <row r="6" spans="1:8" x14ac:dyDescent="0.15">
      <c r="A6" s="13"/>
      <c r="B6" s="11"/>
      <c r="C6" s="11"/>
      <c r="D6" s="11"/>
      <c r="F6" s="8"/>
      <c r="G6" s="8"/>
      <c r="H6" s="10"/>
    </row>
    <row r="7" spans="1:8" ht="14" x14ac:dyDescent="0.15">
      <c r="A7" s="13"/>
      <c r="B7" s="11"/>
      <c r="C7" s="11" t="s">
        <v>20</v>
      </c>
      <c r="D7" s="11"/>
      <c r="F7" s="8"/>
      <c r="G7" s="8"/>
      <c r="H7" s="10">
        <f>'Ground Floor'!H423</f>
        <v>43723</v>
      </c>
    </row>
    <row r="8" spans="1:8" x14ac:dyDescent="0.15">
      <c r="A8" s="13"/>
      <c r="B8" s="11"/>
      <c r="C8" s="11"/>
      <c r="D8" s="11"/>
      <c r="F8" s="8"/>
      <c r="G8" s="8"/>
      <c r="H8" s="10"/>
    </row>
    <row r="9" spans="1:8" ht="14" x14ac:dyDescent="0.15">
      <c r="A9" s="13"/>
      <c r="B9" s="12"/>
      <c r="C9" s="11" t="s">
        <v>244</v>
      </c>
      <c r="D9" s="11"/>
      <c r="F9" s="8"/>
      <c r="G9" s="8"/>
      <c r="H9" s="10">
        <f>'First Floor'!H520</f>
        <v>52068</v>
      </c>
    </row>
    <row r="10" spans="1:8" x14ac:dyDescent="0.15">
      <c r="A10" s="13"/>
      <c r="B10" s="11"/>
      <c r="C10" s="11"/>
      <c r="D10" s="11"/>
      <c r="F10" s="8"/>
      <c r="G10" s="8"/>
      <c r="H10" s="10"/>
    </row>
    <row r="11" spans="1:8" ht="14" x14ac:dyDescent="0.15">
      <c r="A11" s="16"/>
      <c r="B11" s="12"/>
      <c r="C11" s="11" t="s">
        <v>22</v>
      </c>
      <c r="D11" s="11"/>
      <c r="H11" s="10">
        <f>'General Items'!H63</f>
        <v>6950</v>
      </c>
    </row>
    <row r="12" spans="1:8" x14ac:dyDescent="0.15">
      <c r="A12" s="16"/>
      <c r="B12" s="12"/>
      <c r="C12" s="11"/>
      <c r="D12" s="11"/>
      <c r="H12" s="10"/>
    </row>
    <row r="13" spans="1:8" ht="14" x14ac:dyDescent="0.15">
      <c r="A13" s="16"/>
      <c r="B13" s="12"/>
      <c r="C13" s="14" t="s">
        <v>70</v>
      </c>
      <c r="D13" s="11"/>
      <c r="H13" s="19">
        <f>SUM(H5:H11)</f>
        <v>205452.5</v>
      </c>
    </row>
    <row r="14" spans="1:8" x14ac:dyDescent="0.15">
      <c r="A14" s="16"/>
      <c r="B14" s="12"/>
      <c r="C14" s="11"/>
      <c r="D14" s="11"/>
      <c r="H14" s="10"/>
    </row>
    <row r="15" spans="1:8" ht="14" x14ac:dyDescent="0.15">
      <c r="A15" s="13"/>
      <c r="B15" s="12"/>
      <c r="C15" s="11" t="s">
        <v>42</v>
      </c>
      <c r="D15" s="11" t="s">
        <v>71</v>
      </c>
      <c r="H15" s="47">
        <f>SUM(H13*0.2)</f>
        <v>41090.5</v>
      </c>
    </row>
    <row r="16" spans="1:8" x14ac:dyDescent="0.15">
      <c r="A16" s="13"/>
      <c r="B16" s="12"/>
      <c r="C16" s="11"/>
      <c r="D16" s="11"/>
      <c r="H16" s="10"/>
    </row>
    <row r="17" spans="1:8" ht="14" x14ac:dyDescent="0.15">
      <c r="A17" s="13"/>
      <c r="B17" s="12"/>
      <c r="C17" s="14" t="s">
        <v>41</v>
      </c>
      <c r="D17" s="14"/>
      <c r="E17" s="17"/>
      <c r="F17" s="18"/>
      <c r="G17" s="19"/>
      <c r="H17" s="19">
        <f>SUM(H13:H15)</f>
        <v>246543</v>
      </c>
    </row>
    <row r="18" spans="1:8" x14ac:dyDescent="0.15">
      <c r="A18" s="13"/>
      <c r="B18" s="12"/>
      <c r="C18" s="11"/>
      <c r="D18" s="11"/>
      <c r="H18" s="10"/>
    </row>
    <row r="19" spans="1:8" ht="28" x14ac:dyDescent="0.15">
      <c r="A19" s="13"/>
      <c r="B19" s="12"/>
      <c r="C19" s="14" t="s">
        <v>44</v>
      </c>
      <c r="D19" s="11"/>
      <c r="H19" s="10"/>
    </row>
    <row r="20" spans="1:8" ht="14" x14ac:dyDescent="0.15">
      <c r="A20" s="13"/>
      <c r="B20" s="12"/>
      <c r="C20" s="11" t="s">
        <v>75</v>
      </c>
      <c r="D20" s="11" t="s">
        <v>45</v>
      </c>
      <c r="H20" s="10">
        <f>SUM(0.1*H17)</f>
        <v>24654.300000000003</v>
      </c>
    </row>
    <row r="21" spans="1:8" ht="14" x14ac:dyDescent="0.15">
      <c r="A21" s="13"/>
      <c r="B21" s="12"/>
      <c r="C21" s="11" t="s">
        <v>46</v>
      </c>
      <c r="D21" s="11" t="s">
        <v>72</v>
      </c>
      <c r="H21" s="10">
        <f>SUM(0*H17)</f>
        <v>0</v>
      </c>
    </row>
    <row r="22" spans="1:8" ht="14" x14ac:dyDescent="0.15">
      <c r="A22" s="13"/>
      <c r="B22" s="12"/>
      <c r="C22" s="5" t="s">
        <v>47</v>
      </c>
      <c r="D22" s="5" t="s">
        <v>48</v>
      </c>
      <c r="H22" s="10">
        <f>SUM(0.01*H17)</f>
        <v>2465.4299999999998</v>
      </c>
    </row>
    <row r="23" spans="1:8" x14ac:dyDescent="0.15">
      <c r="A23" s="13"/>
      <c r="B23" s="12"/>
      <c r="C23" s="14"/>
      <c r="D23" s="11"/>
      <c r="H23" s="10"/>
    </row>
    <row r="24" spans="1:8" x14ac:dyDescent="0.15">
      <c r="A24" s="13"/>
      <c r="B24" s="12"/>
      <c r="C24" s="11"/>
      <c r="D24" s="11"/>
      <c r="H24" s="10"/>
    </row>
    <row r="25" spans="1:8" ht="14" x14ac:dyDescent="0.15">
      <c r="A25" s="13"/>
      <c r="B25" s="12"/>
      <c r="C25" s="14" t="s">
        <v>43</v>
      </c>
      <c r="D25" s="14"/>
      <c r="E25" s="17"/>
      <c r="F25" s="18"/>
      <c r="G25" s="19"/>
      <c r="H25" s="19">
        <f>SUM(H17:H22)</f>
        <v>273662.73</v>
      </c>
    </row>
    <row r="26" spans="1:8" x14ac:dyDescent="0.15">
      <c r="A26" s="13"/>
      <c r="B26" s="12"/>
      <c r="C26" s="11"/>
      <c r="D26" s="11"/>
      <c r="H26" s="10"/>
    </row>
    <row r="27" spans="1:8" ht="42" x14ac:dyDescent="0.15">
      <c r="A27" s="13"/>
      <c r="B27" s="12"/>
      <c r="C27" s="11" t="s">
        <v>49</v>
      </c>
      <c r="D27" s="11"/>
      <c r="H27" s="10">
        <v>1750</v>
      </c>
    </row>
    <row r="28" spans="1:8" x14ac:dyDescent="0.15">
      <c r="A28" s="13"/>
      <c r="B28" s="12"/>
      <c r="C28" s="11"/>
      <c r="D28" s="11"/>
      <c r="H28" s="10"/>
    </row>
    <row r="29" spans="1:8" ht="28" x14ac:dyDescent="0.15">
      <c r="A29" s="13"/>
      <c r="B29" s="12"/>
      <c r="C29" s="11" t="s">
        <v>50</v>
      </c>
      <c r="D29" s="11" t="s">
        <v>51</v>
      </c>
      <c r="H29" s="10">
        <f>SUM(0.05*H25)</f>
        <v>13683.136500000001</v>
      </c>
    </row>
    <row r="30" spans="1:8" x14ac:dyDescent="0.15">
      <c r="A30" s="13"/>
      <c r="B30" s="12"/>
      <c r="C30" s="11"/>
      <c r="D30" s="11"/>
      <c r="H30" s="10"/>
    </row>
    <row r="31" spans="1:8" ht="14" x14ac:dyDescent="0.15">
      <c r="A31" s="13"/>
      <c r="B31" s="12"/>
      <c r="C31" s="14" t="s">
        <v>52</v>
      </c>
      <c r="D31" s="14"/>
      <c r="E31" s="17"/>
      <c r="F31" s="18"/>
      <c r="G31" s="19"/>
      <c r="H31" s="19">
        <f>SUM(H25:H29)</f>
        <v>289095.8665</v>
      </c>
    </row>
    <row r="32" spans="1:8" x14ac:dyDescent="0.15">
      <c r="A32" s="13"/>
      <c r="B32" s="12"/>
      <c r="C32" s="11"/>
      <c r="D32" s="11"/>
      <c r="H32" s="10"/>
    </row>
    <row r="33" spans="1:8" x14ac:dyDescent="0.15">
      <c r="A33" s="13"/>
      <c r="B33" s="12"/>
      <c r="C33" s="14"/>
      <c r="D33" s="11"/>
      <c r="H33" s="10"/>
    </row>
    <row r="34" spans="1:8" x14ac:dyDescent="0.15">
      <c r="A34" s="13"/>
      <c r="B34" s="12"/>
      <c r="C34" s="11"/>
      <c r="D34" s="11"/>
      <c r="H34" s="10"/>
    </row>
    <row r="35" spans="1:8" x14ac:dyDescent="0.15">
      <c r="A35" s="16"/>
      <c r="B35" s="12"/>
      <c r="C35" s="14"/>
      <c r="D35" s="11"/>
      <c r="H35" s="10"/>
    </row>
    <row r="36" spans="1:8" x14ac:dyDescent="0.15">
      <c r="A36" s="13"/>
      <c r="B36" s="12"/>
      <c r="C36" s="14"/>
      <c r="D36" s="11"/>
      <c r="H36" s="10"/>
    </row>
    <row r="37" spans="1:8" x14ac:dyDescent="0.15">
      <c r="A37" s="13"/>
      <c r="B37" s="12"/>
      <c r="C37" s="14"/>
      <c r="D37" s="11"/>
      <c r="H37" s="10"/>
    </row>
    <row r="38" spans="1:8" x14ac:dyDescent="0.15">
      <c r="A38" s="13"/>
      <c r="B38" s="12"/>
      <c r="C38" s="14"/>
      <c r="D38" s="11"/>
      <c r="H38" s="10"/>
    </row>
    <row r="39" spans="1:8" x14ac:dyDescent="0.15">
      <c r="A39" s="13"/>
      <c r="B39" s="12"/>
      <c r="C39" s="11"/>
      <c r="D39" s="11"/>
      <c r="H39" s="10"/>
    </row>
    <row r="40" spans="1:8" x14ac:dyDescent="0.15">
      <c r="A40" s="13"/>
      <c r="B40" s="12"/>
      <c r="C40" s="11"/>
      <c r="D40" s="11"/>
      <c r="H40" s="10"/>
    </row>
    <row r="41" spans="1:8" x14ac:dyDescent="0.15">
      <c r="A41" s="13"/>
      <c r="B41" s="12"/>
      <c r="C41" s="11"/>
      <c r="D41" s="11"/>
      <c r="H41" s="10"/>
    </row>
    <row r="42" spans="1:8" x14ac:dyDescent="0.15">
      <c r="A42" s="16"/>
      <c r="B42" s="12"/>
      <c r="C42" s="11"/>
      <c r="D42" s="11"/>
      <c r="H42" s="10"/>
    </row>
    <row r="43" spans="1:8" x14ac:dyDescent="0.15">
      <c r="A43" s="13"/>
      <c r="B43" s="12"/>
      <c r="C43" s="11"/>
      <c r="D43" s="11"/>
    </row>
    <row r="44" spans="1:8" x14ac:dyDescent="0.15">
      <c r="A44" s="13"/>
      <c r="B44" s="12"/>
      <c r="C44" s="11"/>
      <c r="D44" s="11"/>
    </row>
    <row r="45" spans="1:8" x14ac:dyDescent="0.15">
      <c r="A45" s="13"/>
      <c r="B45" s="12"/>
      <c r="C45" s="11"/>
      <c r="D45" s="11"/>
    </row>
    <row r="46" spans="1:8" x14ac:dyDescent="0.15">
      <c r="A46" s="13"/>
      <c r="B46" s="12"/>
      <c r="C46" s="11"/>
      <c r="D46" s="11"/>
    </row>
    <row r="47" spans="1:8" x14ac:dyDescent="0.15">
      <c r="A47" s="13"/>
      <c r="B47" s="12"/>
      <c r="C47" s="11"/>
      <c r="D47" s="11"/>
    </row>
    <row r="48" spans="1:8" x14ac:dyDescent="0.15">
      <c r="A48" s="13"/>
      <c r="B48" s="12"/>
      <c r="C48" s="11"/>
      <c r="D48" s="11"/>
    </row>
    <row r="49" spans="1:4" x14ac:dyDescent="0.15">
      <c r="A49" s="13"/>
      <c r="B49" s="12"/>
      <c r="C49" s="14"/>
      <c r="D49" s="11"/>
    </row>
    <row r="50" spans="1:4" x14ac:dyDescent="0.15">
      <c r="A50" s="13"/>
      <c r="B50" s="12"/>
      <c r="C50" s="11"/>
      <c r="D50" s="11"/>
    </row>
    <row r="51" spans="1:4" x14ac:dyDescent="0.15">
      <c r="A51" s="13"/>
      <c r="B51" s="12"/>
      <c r="C51" s="11"/>
      <c r="D51" s="11"/>
    </row>
    <row r="52" spans="1:4" x14ac:dyDescent="0.15">
      <c r="A52" s="13"/>
      <c r="B52" s="12"/>
      <c r="C52" s="11"/>
      <c r="D52" s="11"/>
    </row>
    <row r="53" spans="1:4" x14ac:dyDescent="0.15">
      <c r="A53" s="13"/>
      <c r="B53" s="12"/>
      <c r="C53" s="11"/>
      <c r="D53" s="11"/>
    </row>
    <row r="54" spans="1:4" x14ac:dyDescent="0.15">
      <c r="A54" s="11"/>
      <c r="B54" s="12"/>
      <c r="C54" s="11"/>
      <c r="D54" s="11"/>
    </row>
    <row r="55" spans="1:4" x14ac:dyDescent="0.15">
      <c r="A55" s="13"/>
      <c r="B55" s="12"/>
      <c r="C55" s="11"/>
      <c r="D55" s="11"/>
    </row>
    <row r="56" spans="1:4" x14ac:dyDescent="0.15">
      <c r="A56" s="13"/>
      <c r="B56" s="12"/>
      <c r="C56" s="11"/>
      <c r="D56" s="11"/>
    </row>
    <row r="57" spans="1:4" x14ac:dyDescent="0.15">
      <c r="A57" s="13"/>
      <c r="B57" s="12"/>
      <c r="C57" s="11"/>
      <c r="D57" s="11"/>
    </row>
    <row r="58" spans="1:4" x14ac:dyDescent="0.15">
      <c r="A58" s="13"/>
      <c r="B58" s="12"/>
      <c r="C58" s="11"/>
      <c r="D58" s="11"/>
    </row>
    <row r="59" spans="1:4" x14ac:dyDescent="0.15">
      <c r="A59" s="13"/>
      <c r="B59" s="12"/>
      <c r="C59" s="11"/>
      <c r="D59" s="11"/>
    </row>
    <row r="60" spans="1:4" x14ac:dyDescent="0.15">
      <c r="A60" s="13"/>
      <c r="B60" s="12"/>
      <c r="C60" s="11"/>
      <c r="D60" s="11"/>
    </row>
    <row r="61" spans="1:4" x14ac:dyDescent="0.15">
      <c r="A61" s="13"/>
      <c r="B61" s="12"/>
      <c r="C61" s="11"/>
      <c r="D61" s="11"/>
    </row>
    <row r="62" spans="1:4" x14ac:dyDescent="0.15">
      <c r="A62" s="13"/>
      <c r="B62" s="12"/>
      <c r="C62" s="14"/>
      <c r="D62" s="11"/>
    </row>
    <row r="63" spans="1:4" x14ac:dyDescent="0.15">
      <c r="A63" s="13"/>
      <c r="B63" s="12"/>
      <c r="C63" s="14"/>
      <c r="D63" s="11"/>
    </row>
    <row r="64" spans="1:4" x14ac:dyDescent="0.15">
      <c r="A64" s="13"/>
      <c r="B64" s="12"/>
      <c r="C64" s="11"/>
      <c r="D64" s="11"/>
    </row>
    <row r="65" spans="1:4" x14ac:dyDescent="0.15">
      <c r="A65" s="13"/>
      <c r="B65" s="12"/>
      <c r="C65" s="11"/>
      <c r="D65" s="11"/>
    </row>
    <row r="66" spans="1:4" x14ac:dyDescent="0.15">
      <c r="A66" s="13"/>
      <c r="B66" s="12"/>
      <c r="C66" s="11"/>
      <c r="D66" s="11"/>
    </row>
    <row r="67" spans="1:4" x14ac:dyDescent="0.15">
      <c r="A67" s="13"/>
      <c r="B67" s="12"/>
      <c r="C67" s="11"/>
      <c r="D67" s="11"/>
    </row>
    <row r="68" spans="1:4" x14ac:dyDescent="0.15">
      <c r="A68" s="13"/>
      <c r="B68" s="12"/>
      <c r="C68" s="11"/>
      <c r="D68" s="11"/>
    </row>
    <row r="69" spans="1:4" x14ac:dyDescent="0.15">
      <c r="A69" s="13"/>
      <c r="B69" s="12"/>
      <c r="C69" s="11"/>
      <c r="D69" s="11"/>
    </row>
    <row r="70" spans="1:4" x14ac:dyDescent="0.15">
      <c r="A70" s="13"/>
      <c r="B70" s="12"/>
      <c r="C70" s="11"/>
      <c r="D70" s="11"/>
    </row>
    <row r="71" spans="1:4" x14ac:dyDescent="0.15">
      <c r="A71" s="11"/>
      <c r="B71" s="12"/>
      <c r="C71" s="11"/>
      <c r="D71" s="11"/>
    </row>
    <row r="72" spans="1:4" x14ac:dyDescent="0.15">
      <c r="A72" s="11"/>
      <c r="B72" s="12"/>
      <c r="C72" s="11"/>
      <c r="D72" s="11"/>
    </row>
    <row r="73" spans="1:4" x14ac:dyDescent="0.15">
      <c r="A73" s="11"/>
      <c r="B73" s="12"/>
      <c r="C73" s="11"/>
      <c r="D73" s="11"/>
    </row>
    <row r="74" spans="1:4" x14ac:dyDescent="0.15">
      <c r="A74" s="11"/>
      <c r="B74" s="12"/>
      <c r="C74" s="11"/>
      <c r="D74" s="11"/>
    </row>
    <row r="75" spans="1:4" x14ac:dyDescent="0.15">
      <c r="A75" s="11"/>
      <c r="B75" s="12"/>
      <c r="C75" s="14"/>
      <c r="D75" s="11"/>
    </row>
    <row r="76" spans="1:4" x14ac:dyDescent="0.15">
      <c r="A76" s="11"/>
      <c r="B76" s="12"/>
      <c r="C76" s="11"/>
      <c r="D76" s="11"/>
    </row>
    <row r="77" spans="1:4" x14ac:dyDescent="0.15">
      <c r="A77" s="11"/>
      <c r="B77" s="12"/>
      <c r="C77" s="11"/>
      <c r="D77" s="11"/>
    </row>
    <row r="78" spans="1:4" x14ac:dyDescent="0.15">
      <c r="A78" s="11"/>
      <c r="B78" s="12"/>
      <c r="C78" s="11"/>
      <c r="D78" s="11"/>
    </row>
    <row r="79" spans="1:4" x14ac:dyDescent="0.15">
      <c r="A79" s="11"/>
      <c r="B79" s="12"/>
      <c r="C79" s="11"/>
      <c r="D79" s="11"/>
    </row>
    <row r="80" spans="1:4" x14ac:dyDescent="0.15">
      <c r="A80" s="11"/>
      <c r="B80" s="12"/>
      <c r="C80" s="11"/>
      <c r="D80" s="11"/>
    </row>
    <row r="81" spans="1:8" x14ac:dyDescent="0.15">
      <c r="A81" s="5"/>
      <c r="B81" s="12"/>
      <c r="C81" s="11"/>
      <c r="D81" s="11"/>
    </row>
    <row r="82" spans="1:8" x14ac:dyDescent="0.15">
      <c r="A82" s="11"/>
      <c r="B82" s="12"/>
      <c r="C82" s="11"/>
      <c r="D82" s="11"/>
    </row>
    <row r="83" spans="1:8" x14ac:dyDescent="0.15">
      <c r="A83" s="11"/>
      <c r="B83" s="12"/>
      <c r="C83" s="11"/>
      <c r="D83" s="11"/>
    </row>
    <row r="84" spans="1:8" x14ac:dyDescent="0.15">
      <c r="A84" s="11"/>
      <c r="B84" s="12"/>
      <c r="C84" s="11"/>
      <c r="D84" s="11"/>
    </row>
    <row r="85" spans="1:8" x14ac:dyDescent="0.15">
      <c r="A85" s="16"/>
      <c r="B85" s="12"/>
      <c r="C85" s="14"/>
      <c r="D85" s="11"/>
    </row>
    <row r="86" spans="1:8" x14ac:dyDescent="0.15">
      <c r="A86" s="13"/>
      <c r="B86" s="12"/>
      <c r="D86" s="11"/>
    </row>
    <row r="87" spans="1:8" x14ac:dyDescent="0.15">
      <c r="A87" s="13"/>
      <c r="B87" s="12"/>
      <c r="C87" s="14"/>
      <c r="D87" s="11"/>
    </row>
    <row r="88" spans="1:8" x14ac:dyDescent="0.15">
      <c r="A88" s="13"/>
      <c r="B88" s="12"/>
      <c r="C88" s="14"/>
      <c r="D88" s="11"/>
    </row>
    <row r="89" spans="1:8" x14ac:dyDescent="0.15">
      <c r="A89" s="13"/>
      <c r="B89" s="12"/>
      <c r="C89" s="11"/>
      <c r="D89" s="11"/>
    </row>
    <row r="90" spans="1:8" x14ac:dyDescent="0.15">
      <c r="A90" s="16"/>
      <c r="B90" s="12"/>
      <c r="C90" s="11"/>
      <c r="D90" s="11"/>
    </row>
    <row r="91" spans="1:8" x14ac:dyDescent="0.15">
      <c r="A91" s="13"/>
      <c r="B91" s="12"/>
      <c r="H91" s="10"/>
    </row>
    <row r="92" spans="1:8" x14ac:dyDescent="0.15">
      <c r="A92" s="13"/>
      <c r="B92" s="12"/>
      <c r="H92" s="10"/>
    </row>
    <row r="93" spans="1:8" x14ac:dyDescent="0.15">
      <c r="A93" s="13"/>
      <c r="B93" s="12"/>
      <c r="H93" s="10"/>
    </row>
    <row r="94" spans="1:8" x14ac:dyDescent="0.15">
      <c r="A94" s="13"/>
      <c r="B94" s="12"/>
      <c r="H94" s="10"/>
    </row>
    <row r="95" spans="1:8" x14ac:dyDescent="0.15">
      <c r="A95" s="16"/>
      <c r="B95" s="12"/>
      <c r="C95" s="14"/>
      <c r="D95" s="11"/>
      <c r="H95" s="10"/>
    </row>
    <row r="96" spans="1:8" x14ac:dyDescent="0.15">
      <c r="A96" s="11"/>
      <c r="B96" s="12"/>
      <c r="C96" s="14"/>
      <c r="D96" s="11"/>
      <c r="H96" s="10"/>
    </row>
    <row r="97" spans="1:8" x14ac:dyDescent="0.15">
      <c r="A97" s="11"/>
      <c r="B97" s="12"/>
      <c r="C97" s="14"/>
      <c r="D97" s="11"/>
      <c r="H97" s="10"/>
    </row>
    <row r="98" spans="1:8" x14ac:dyDescent="0.15">
      <c r="A98" s="11"/>
      <c r="B98" s="12"/>
      <c r="C98" s="14"/>
      <c r="D98" s="11"/>
      <c r="H98" s="10"/>
    </row>
    <row r="99" spans="1:8" x14ac:dyDescent="0.15">
      <c r="A99" s="13"/>
      <c r="B99" s="12"/>
      <c r="C99" s="11"/>
      <c r="D99" s="11"/>
      <c r="H99" s="10"/>
    </row>
    <row r="100" spans="1:8" x14ac:dyDescent="0.15">
      <c r="A100" s="13"/>
      <c r="B100" s="12"/>
      <c r="C100" s="11"/>
      <c r="D100" s="11"/>
      <c r="H100" s="10"/>
    </row>
    <row r="101" spans="1:8" x14ac:dyDescent="0.15">
      <c r="A101" s="13"/>
      <c r="B101" s="12"/>
      <c r="C101" s="11"/>
      <c r="D101" s="11"/>
      <c r="H101" s="10"/>
    </row>
    <row r="102" spans="1:8" x14ac:dyDescent="0.15">
      <c r="A102" s="13"/>
      <c r="B102" s="12"/>
      <c r="C102" s="11"/>
      <c r="D102" s="11"/>
      <c r="H102" s="10"/>
    </row>
    <row r="103" spans="1:8" x14ac:dyDescent="0.15">
      <c r="A103" s="13"/>
      <c r="B103" s="12"/>
      <c r="C103" s="11"/>
      <c r="D103" s="11"/>
      <c r="H103" s="10"/>
    </row>
    <row r="104" spans="1:8" x14ac:dyDescent="0.15">
      <c r="A104" s="13"/>
      <c r="B104" s="12"/>
      <c r="C104" s="11"/>
      <c r="D104" s="11"/>
      <c r="H104" s="10"/>
    </row>
    <row r="105" spans="1:8" x14ac:dyDescent="0.15">
      <c r="A105" s="13"/>
      <c r="B105" s="12"/>
      <c r="C105" s="11"/>
      <c r="D105" s="11"/>
      <c r="H105" s="10"/>
    </row>
    <row r="106" spans="1:8" x14ac:dyDescent="0.15">
      <c r="A106" s="13"/>
      <c r="B106" s="12"/>
      <c r="C106" s="11"/>
      <c r="D106" s="11"/>
      <c r="H106" s="10"/>
    </row>
    <row r="107" spans="1:8" x14ac:dyDescent="0.15">
      <c r="A107" s="13"/>
      <c r="B107" s="12"/>
      <c r="C107" s="11"/>
      <c r="D107" s="11"/>
    </row>
    <row r="108" spans="1:8" x14ac:dyDescent="0.15">
      <c r="A108" s="13"/>
      <c r="B108" s="12"/>
      <c r="C108" s="11"/>
      <c r="D108" s="11"/>
    </row>
    <row r="109" spans="1:8" x14ac:dyDescent="0.15">
      <c r="A109" s="13"/>
      <c r="B109" s="12"/>
      <c r="C109" s="14"/>
      <c r="D109" s="11"/>
    </row>
    <row r="110" spans="1:8" x14ac:dyDescent="0.15">
      <c r="A110" s="13"/>
      <c r="B110" s="12"/>
      <c r="C110" s="11"/>
      <c r="D110" s="11"/>
    </row>
    <row r="111" spans="1:8" x14ac:dyDescent="0.15">
      <c r="A111" s="13"/>
      <c r="B111" s="12"/>
      <c r="C111" s="11"/>
      <c r="D111" s="11"/>
    </row>
    <row r="112" spans="1:8" x14ac:dyDescent="0.15">
      <c r="A112" s="16"/>
      <c r="B112" s="12"/>
      <c r="C112" s="11"/>
      <c r="D112" s="11"/>
    </row>
    <row r="113" spans="1:8" x14ac:dyDescent="0.15">
      <c r="A113" s="13"/>
      <c r="B113" s="12"/>
      <c r="C113" s="11"/>
      <c r="D113" s="11"/>
    </row>
    <row r="114" spans="1:8" x14ac:dyDescent="0.15">
      <c r="A114" s="13"/>
      <c r="B114" s="12"/>
      <c r="C114" s="11"/>
      <c r="D114" s="11"/>
    </row>
    <row r="115" spans="1:8" x14ac:dyDescent="0.15">
      <c r="A115" s="13"/>
      <c r="B115" s="12"/>
      <c r="C115" s="14"/>
      <c r="D115" s="11"/>
    </row>
    <row r="116" spans="1:8" x14ac:dyDescent="0.15">
      <c r="A116" s="13"/>
      <c r="B116" s="12"/>
      <c r="C116" s="14"/>
      <c r="D116" s="11"/>
    </row>
    <row r="117" spans="1:8" x14ac:dyDescent="0.15">
      <c r="A117" s="13"/>
      <c r="B117" s="12"/>
      <c r="C117" s="11"/>
      <c r="D117" s="11"/>
    </row>
    <row r="118" spans="1:8" x14ac:dyDescent="0.15">
      <c r="A118" s="13"/>
      <c r="B118" s="11"/>
      <c r="C118" s="11"/>
      <c r="D118" s="11"/>
    </row>
    <row r="119" spans="1:8" x14ac:dyDescent="0.15">
      <c r="A119" s="13"/>
      <c r="B119" s="12"/>
      <c r="C119" s="11"/>
      <c r="D119" s="11"/>
    </row>
    <row r="120" spans="1:8" x14ac:dyDescent="0.15">
      <c r="A120" s="13"/>
      <c r="B120" s="12"/>
      <c r="C120" s="11"/>
      <c r="D120" s="11"/>
    </row>
    <row r="121" spans="1:8" x14ac:dyDescent="0.15">
      <c r="A121" s="13"/>
      <c r="B121" s="12"/>
      <c r="C121" s="11"/>
      <c r="D121" s="11"/>
      <c r="F121" s="8"/>
      <c r="G121" s="8"/>
    </row>
    <row r="122" spans="1:8" x14ac:dyDescent="0.15">
      <c r="A122" s="13"/>
      <c r="B122" s="12"/>
      <c r="C122" s="11"/>
      <c r="D122" s="11"/>
      <c r="F122" s="8"/>
      <c r="G122" s="8"/>
    </row>
    <row r="123" spans="1:8" x14ac:dyDescent="0.15">
      <c r="A123" s="13"/>
      <c r="B123" s="12"/>
      <c r="C123" s="11"/>
      <c r="D123" s="11"/>
      <c r="H123" s="10"/>
    </row>
    <row r="124" spans="1:8" x14ac:dyDescent="0.15">
      <c r="A124" s="13"/>
      <c r="B124" s="31"/>
      <c r="C124" s="11"/>
      <c r="D124" s="11"/>
      <c r="H124" s="10"/>
    </row>
    <row r="125" spans="1:8" x14ac:dyDescent="0.15">
      <c r="A125" s="13"/>
      <c r="B125" s="12"/>
      <c r="C125" s="11"/>
      <c r="D125" s="11"/>
      <c r="H125" s="10"/>
    </row>
    <row r="126" spans="1:8" x14ac:dyDescent="0.15">
      <c r="A126" s="16"/>
      <c r="B126" s="12"/>
      <c r="C126" s="14"/>
      <c r="D126" s="11"/>
      <c r="H126" s="10"/>
    </row>
    <row r="127" spans="1:8" x14ac:dyDescent="0.15">
      <c r="A127" s="13"/>
      <c r="B127" s="12"/>
      <c r="C127" s="11"/>
      <c r="D127" s="11"/>
      <c r="H127" s="10"/>
    </row>
    <row r="128" spans="1:8" x14ac:dyDescent="0.15">
      <c r="A128" s="13"/>
      <c r="B128" s="27"/>
      <c r="C128" s="14"/>
      <c r="D128" s="11"/>
      <c r="H128" s="10"/>
    </row>
    <row r="129" spans="1:8" x14ac:dyDescent="0.15">
      <c r="A129" s="13"/>
      <c r="B129" s="12"/>
      <c r="C129" s="11"/>
      <c r="D129" s="11"/>
      <c r="H129" s="10"/>
    </row>
    <row r="130" spans="1:8" x14ac:dyDescent="0.15">
      <c r="A130" s="13"/>
      <c r="B130" s="27"/>
      <c r="C130" s="11"/>
      <c r="D130" s="11"/>
      <c r="H130" s="10"/>
    </row>
    <row r="131" spans="1:8" x14ac:dyDescent="0.15">
      <c r="A131" s="13"/>
      <c r="B131" s="12"/>
      <c r="C131" s="11"/>
      <c r="D131" s="11"/>
      <c r="H131" s="10"/>
    </row>
    <row r="132" spans="1:8" x14ac:dyDescent="0.15">
      <c r="A132" s="13"/>
      <c r="B132" s="12"/>
      <c r="C132" s="11"/>
      <c r="D132" s="11"/>
      <c r="H132" s="10"/>
    </row>
    <row r="133" spans="1:8" x14ac:dyDescent="0.15">
      <c r="A133" s="13"/>
      <c r="B133" s="12"/>
      <c r="C133" s="11"/>
      <c r="D133" s="11"/>
      <c r="H133" s="10"/>
    </row>
    <row r="134" spans="1:8" x14ac:dyDescent="0.15">
      <c r="A134" s="13"/>
      <c r="B134" s="12"/>
      <c r="C134" s="11"/>
      <c r="D134" s="11"/>
      <c r="H134" s="10"/>
    </row>
    <row r="135" spans="1:8" x14ac:dyDescent="0.15">
      <c r="A135" s="13"/>
      <c r="B135" s="12"/>
      <c r="C135" s="11"/>
      <c r="D135" s="11"/>
      <c r="H135" s="10"/>
    </row>
    <row r="136" spans="1:8" x14ac:dyDescent="0.15">
      <c r="A136" s="13"/>
      <c r="B136" s="12"/>
      <c r="C136" s="11"/>
      <c r="D136" s="11"/>
      <c r="H136" s="10"/>
    </row>
    <row r="137" spans="1:8" x14ac:dyDescent="0.15">
      <c r="A137" s="13"/>
      <c r="B137" s="12"/>
      <c r="C137" s="11"/>
      <c r="D137" s="11"/>
      <c r="H137" s="10"/>
    </row>
    <row r="138" spans="1:8" x14ac:dyDescent="0.15">
      <c r="A138" s="13"/>
      <c r="B138" s="12"/>
      <c r="C138" s="11"/>
      <c r="D138" s="11"/>
      <c r="H138" s="10"/>
    </row>
    <row r="139" spans="1:8" x14ac:dyDescent="0.15">
      <c r="A139" s="13"/>
      <c r="B139" s="12"/>
      <c r="C139" s="11"/>
      <c r="D139" s="11"/>
      <c r="H139" s="10"/>
    </row>
    <row r="140" spans="1:8" x14ac:dyDescent="0.15">
      <c r="B140" s="11"/>
      <c r="C140" s="11"/>
      <c r="D140" s="11"/>
      <c r="H140" s="10"/>
    </row>
    <row r="141" spans="1:8" x14ac:dyDescent="0.15">
      <c r="A141" s="13"/>
      <c r="B141" s="12"/>
      <c r="C141" s="11"/>
      <c r="D141" s="11"/>
      <c r="H141" s="10"/>
    </row>
    <row r="142" spans="1:8" ht="14" x14ac:dyDescent="0.15">
      <c r="B142" s="12"/>
      <c r="C142" s="26"/>
      <c r="D142" s="26"/>
      <c r="H142" s="10"/>
    </row>
    <row r="143" spans="1:8" x14ac:dyDescent="0.15">
      <c r="B143" s="12"/>
      <c r="C143" s="14"/>
      <c r="D143" s="14"/>
      <c r="E143" s="17"/>
      <c r="F143" s="18"/>
      <c r="G143" s="19"/>
      <c r="H143" s="10"/>
    </row>
    <row r="144" spans="1:8" x14ac:dyDescent="0.15">
      <c r="B144" s="11"/>
      <c r="C144" s="14"/>
      <c r="D144" s="14"/>
      <c r="E144" s="17"/>
      <c r="F144" s="18"/>
      <c r="G144" s="19"/>
      <c r="H144" s="10"/>
    </row>
    <row r="145" spans="1:8" x14ac:dyDescent="0.15">
      <c r="A145" s="13"/>
      <c r="B145" s="12"/>
      <c r="C145" s="11"/>
      <c r="D145" s="11"/>
      <c r="H145" s="10"/>
    </row>
    <row r="146" spans="1:8" x14ac:dyDescent="0.15">
      <c r="B146" s="12"/>
      <c r="C146" s="11"/>
      <c r="D146" s="11"/>
      <c r="H146" s="10"/>
    </row>
    <row r="147" spans="1:8" x14ac:dyDescent="0.15">
      <c r="B147" s="12"/>
      <c r="C147" s="11"/>
      <c r="D147" s="11"/>
      <c r="H147" s="10"/>
    </row>
    <row r="148" spans="1:8" x14ac:dyDescent="0.15">
      <c r="B148" s="11"/>
      <c r="C148" s="11"/>
      <c r="D148" s="11"/>
      <c r="H148" s="10"/>
    </row>
    <row r="149" spans="1:8" x14ac:dyDescent="0.15">
      <c r="B149" s="12"/>
      <c r="C149" s="14"/>
      <c r="D149" s="11"/>
      <c r="H149" s="10"/>
    </row>
    <row r="150" spans="1:8" x14ac:dyDescent="0.15">
      <c r="B150" s="12"/>
      <c r="C150" s="11"/>
      <c r="D150" s="11"/>
      <c r="H150" s="10"/>
    </row>
    <row r="151" spans="1:8" x14ac:dyDescent="0.15">
      <c r="B151" s="11"/>
      <c r="C151" s="11"/>
      <c r="D151" s="11"/>
      <c r="E151" s="11"/>
      <c r="F151" s="11"/>
      <c r="G151" s="11"/>
      <c r="H151" s="11"/>
    </row>
    <row r="152" spans="1:8" x14ac:dyDescent="0.15">
      <c r="B152" s="12"/>
      <c r="C152" s="11"/>
      <c r="D152" s="11"/>
      <c r="H152" s="10"/>
    </row>
    <row r="153" spans="1:8" x14ac:dyDescent="0.15">
      <c r="B153" s="12"/>
      <c r="C153" s="11"/>
      <c r="D153" s="11"/>
      <c r="E153" s="11"/>
      <c r="F153" s="11"/>
      <c r="G153" s="11"/>
      <c r="H153" s="10"/>
    </row>
    <row r="154" spans="1:8" x14ac:dyDescent="0.15">
      <c r="B154" s="11"/>
      <c r="C154" s="14"/>
      <c r="D154" s="11"/>
      <c r="E154" s="11"/>
      <c r="F154" s="11"/>
      <c r="G154" s="11"/>
      <c r="H154" s="10"/>
    </row>
    <row r="155" spans="1:8" x14ac:dyDescent="0.15">
      <c r="B155" s="31"/>
      <c r="C155" s="11"/>
      <c r="D155" s="11"/>
      <c r="E155" s="11"/>
      <c r="F155" s="11"/>
      <c r="G155" s="11"/>
      <c r="H155" s="10"/>
    </row>
    <row r="156" spans="1:8" x14ac:dyDescent="0.15">
      <c r="B156" s="12"/>
      <c r="C156" s="11"/>
      <c r="D156" s="11"/>
      <c r="E156" s="11"/>
      <c r="F156" s="11"/>
      <c r="G156" s="11"/>
      <c r="H156" s="11"/>
    </row>
    <row r="157" spans="1:8" x14ac:dyDescent="0.15">
      <c r="B157" s="31"/>
      <c r="C157" s="11"/>
      <c r="D157" s="11"/>
      <c r="E157" s="11"/>
      <c r="F157" s="11"/>
      <c r="G157" s="11"/>
      <c r="H157" s="11"/>
    </row>
    <row r="158" spans="1:8" x14ac:dyDescent="0.15">
      <c r="B158" s="12"/>
      <c r="C158" s="11"/>
      <c r="D158" s="11"/>
      <c r="E158" s="11"/>
      <c r="F158" s="11"/>
      <c r="G158" s="11"/>
      <c r="H158" s="10"/>
    </row>
    <row r="159" spans="1:8" x14ac:dyDescent="0.15">
      <c r="B159" s="12"/>
      <c r="C159" s="11"/>
      <c r="D159" s="11"/>
      <c r="E159" s="11"/>
      <c r="F159" s="11"/>
      <c r="G159" s="11"/>
      <c r="H159" s="11"/>
    </row>
    <row r="160" spans="1:8" x14ac:dyDescent="0.15">
      <c r="B160" s="12"/>
      <c r="C160" s="11"/>
      <c r="D160" s="11"/>
      <c r="E160" s="11"/>
      <c r="F160" s="11"/>
      <c r="G160" s="11"/>
      <c r="H160" s="10"/>
    </row>
    <row r="161" spans="1:8" x14ac:dyDescent="0.15">
      <c r="B161" s="14"/>
      <c r="C161" s="11"/>
      <c r="D161" s="11"/>
      <c r="E161" s="11"/>
      <c r="F161" s="11"/>
      <c r="G161" s="11"/>
      <c r="H161" s="10"/>
    </row>
    <row r="162" spans="1:8" x14ac:dyDescent="0.15">
      <c r="A162" s="3"/>
      <c r="B162" s="11"/>
      <c r="C162" s="14"/>
      <c r="D162" s="11"/>
      <c r="E162" s="11"/>
      <c r="F162" s="11"/>
      <c r="G162" s="11"/>
      <c r="H162" s="10"/>
    </row>
    <row r="163" spans="1:8" x14ac:dyDescent="0.15">
      <c r="A163" s="3"/>
      <c r="B163" s="11"/>
      <c r="C163" s="14"/>
      <c r="D163" s="11"/>
      <c r="E163" s="11"/>
      <c r="F163" s="11"/>
      <c r="G163" s="11"/>
      <c r="H163" s="10"/>
    </row>
    <row r="164" spans="1:8" ht="14" x14ac:dyDescent="0.15">
      <c r="B164" s="12"/>
      <c r="C164" s="11"/>
      <c r="D164" s="11"/>
      <c r="E164" s="28"/>
      <c r="F164" s="11"/>
      <c r="G164" s="5"/>
      <c r="H164" s="10"/>
    </row>
    <row r="165" spans="1:8" ht="14" x14ac:dyDescent="0.15">
      <c r="B165" s="31"/>
      <c r="C165" s="11"/>
      <c r="D165" s="26"/>
      <c r="E165" s="28"/>
      <c r="F165" s="11"/>
      <c r="G165" s="5"/>
      <c r="H165" s="10"/>
    </row>
    <row r="166" spans="1:8" x14ac:dyDescent="0.15">
      <c r="B166" s="31"/>
      <c r="C166" s="14"/>
      <c r="D166" s="11"/>
      <c r="E166" s="11"/>
      <c r="F166" s="11"/>
      <c r="G166" s="11"/>
      <c r="H166" s="19"/>
    </row>
    <row r="192" spans="1:8" s="1" customFormat="1" x14ac:dyDescent="0.15">
      <c r="A192" s="7"/>
      <c r="B192" s="31"/>
      <c r="C192" s="5"/>
      <c r="D192" s="5"/>
      <c r="E192" s="8"/>
      <c r="F192" s="9"/>
      <c r="G192" s="10"/>
      <c r="H192" s="10"/>
    </row>
    <row r="193" spans="1:8" s="1" customFormat="1" x14ac:dyDescent="0.15">
      <c r="A193" s="7"/>
      <c r="B193" s="31"/>
      <c r="C193" s="5"/>
      <c r="D193" s="5"/>
      <c r="E193" s="8"/>
      <c r="F193" s="9"/>
      <c r="G193" s="10"/>
      <c r="H193" s="10"/>
    </row>
    <row r="194" spans="1:8" s="1" customFormat="1" x14ac:dyDescent="0.15">
      <c r="A194" s="7"/>
      <c r="B194" s="31"/>
      <c r="C194" s="5"/>
      <c r="D194" s="5"/>
      <c r="E194" s="8"/>
      <c r="F194" s="9"/>
      <c r="G194" s="10"/>
      <c r="H194" s="10"/>
    </row>
    <row r="195" spans="1:8" s="1" customFormat="1" x14ac:dyDescent="0.15">
      <c r="A195" s="7"/>
      <c r="B195" s="31"/>
      <c r="C195" s="5"/>
      <c r="D195" s="5"/>
      <c r="E195" s="8"/>
      <c r="F195" s="9"/>
      <c r="G195" s="10"/>
      <c r="H195" s="10"/>
    </row>
    <row r="228" spans="1:8" s="1" customFormat="1" x14ac:dyDescent="0.15">
      <c r="A228" s="7"/>
      <c r="B228" s="31"/>
      <c r="C228" s="5"/>
      <c r="D228" s="5"/>
      <c r="E228" s="8"/>
      <c r="F228" s="9"/>
      <c r="G228" s="10"/>
      <c r="H228" s="10"/>
    </row>
    <row r="229" spans="1:8" s="1" customFormat="1" x14ac:dyDescent="0.15">
      <c r="A229" s="7"/>
      <c r="B229" s="31"/>
      <c r="C229" s="5"/>
      <c r="D229" s="5"/>
      <c r="E229" s="8"/>
      <c r="F229" s="9"/>
      <c r="G229" s="10"/>
      <c r="H229" s="10"/>
    </row>
    <row r="230" spans="1:8" s="1" customFormat="1" x14ac:dyDescent="0.15">
      <c r="A230" s="7"/>
      <c r="B230" s="31"/>
      <c r="C230" s="5"/>
      <c r="D230" s="5"/>
      <c r="E230" s="8"/>
      <c r="F230" s="9"/>
      <c r="G230" s="10"/>
      <c r="H230" s="10"/>
    </row>
    <row r="231" spans="1:8" s="1" customFormat="1" x14ac:dyDescent="0.15">
      <c r="A231" s="7"/>
      <c r="B231" s="31"/>
      <c r="C231" s="5"/>
      <c r="D231" s="5"/>
      <c r="E231" s="8"/>
      <c r="F231" s="9"/>
      <c r="G231" s="10"/>
      <c r="H231" s="10"/>
    </row>
    <row r="232" spans="1:8" s="1" customFormat="1" x14ac:dyDescent="0.15">
      <c r="A232" s="7"/>
      <c r="B232" s="31"/>
      <c r="C232" s="5"/>
      <c r="D232" s="5"/>
      <c r="E232" s="8"/>
      <c r="F232" s="9"/>
      <c r="G232" s="10"/>
      <c r="H232" s="10"/>
    </row>
    <row r="233" spans="1:8" s="1" customFormat="1" x14ac:dyDescent="0.15">
      <c r="A233" s="7"/>
      <c r="B233" s="31"/>
      <c r="C233" s="5"/>
      <c r="D233" s="5"/>
      <c r="E233" s="8"/>
      <c r="F233" s="9"/>
      <c r="G233" s="10"/>
      <c r="H233" s="10"/>
    </row>
    <row r="234" spans="1:8" s="1" customFormat="1" x14ac:dyDescent="0.15">
      <c r="A234" s="7"/>
      <c r="B234" s="31"/>
      <c r="C234" s="5"/>
      <c r="D234" s="5"/>
      <c r="E234" s="8"/>
      <c r="F234" s="9"/>
      <c r="G234" s="10"/>
      <c r="H234" s="10"/>
    </row>
    <row r="235" spans="1:8" s="1" customFormat="1" x14ac:dyDescent="0.15">
      <c r="A235" s="7"/>
      <c r="B235" s="31"/>
      <c r="C235" s="5"/>
      <c r="D235" s="5"/>
      <c r="E235" s="8"/>
      <c r="F235" s="9"/>
      <c r="G235" s="10"/>
      <c r="H235" s="10"/>
    </row>
    <row r="236" spans="1:8" s="1" customFormat="1" x14ac:dyDescent="0.15">
      <c r="A236" s="7"/>
      <c r="B236" s="31"/>
      <c r="C236" s="5"/>
      <c r="D236" s="5"/>
      <c r="E236" s="8"/>
      <c r="F236" s="9"/>
      <c r="G236" s="10"/>
      <c r="H236" s="10"/>
    </row>
    <row r="237" spans="1:8" s="1" customFormat="1" x14ac:dyDescent="0.15">
      <c r="A237" s="7"/>
      <c r="B237" s="31"/>
      <c r="C237" s="5"/>
      <c r="D237" s="5"/>
      <c r="E237" s="8"/>
      <c r="F237" s="9"/>
      <c r="G237" s="10"/>
      <c r="H237" s="10"/>
    </row>
    <row r="238" spans="1:8" s="1" customFormat="1" x14ac:dyDescent="0.15">
      <c r="A238" s="7"/>
      <c r="B238" s="31"/>
      <c r="C238" s="5"/>
      <c r="D238" s="5"/>
      <c r="E238" s="8"/>
      <c r="F238" s="9"/>
      <c r="G238" s="10"/>
      <c r="H238" s="10"/>
    </row>
    <row r="239" spans="1:8" s="1" customFormat="1" x14ac:dyDescent="0.15">
      <c r="A239" s="7"/>
      <c r="B239" s="31"/>
      <c r="C239" s="5"/>
      <c r="D239" s="5"/>
      <c r="E239" s="8"/>
      <c r="F239" s="9"/>
      <c r="G239" s="10"/>
      <c r="H239" s="10"/>
    </row>
    <row r="240" spans="1:8" s="1" customFormat="1" x14ac:dyDescent="0.15">
      <c r="A240" s="7"/>
      <c r="B240" s="31"/>
      <c r="C240" s="5"/>
      <c r="D240" s="5"/>
      <c r="E240" s="8"/>
      <c r="F240" s="9"/>
      <c r="G240" s="10"/>
      <c r="H240" s="10"/>
    </row>
    <row r="241" spans="1:8" s="1" customFormat="1" x14ac:dyDescent="0.15">
      <c r="A241" s="7"/>
      <c r="B241" s="31"/>
      <c r="C241" s="5"/>
      <c r="D241" s="5"/>
      <c r="E241" s="8"/>
      <c r="F241" s="9"/>
      <c r="G241" s="10"/>
      <c r="H241" s="10"/>
    </row>
    <row r="292" spans="1:8" s="5" customFormat="1" x14ac:dyDescent="0.15">
      <c r="A292" s="7"/>
      <c r="B292" s="31"/>
      <c r="E292" s="8"/>
      <c r="F292" s="9"/>
      <c r="G292" s="10"/>
      <c r="H292" s="10"/>
    </row>
    <row r="293" spans="1:8" s="5" customFormat="1" x14ac:dyDescent="0.15">
      <c r="A293" s="7"/>
      <c r="B293" s="31"/>
      <c r="E293" s="8"/>
      <c r="F293" s="9"/>
      <c r="G293" s="10"/>
      <c r="H293" s="10"/>
    </row>
    <row r="294" spans="1:8" s="5" customFormat="1" x14ac:dyDescent="0.15">
      <c r="A294" s="7"/>
      <c r="B294" s="31"/>
      <c r="E294" s="8"/>
      <c r="F294" s="9"/>
      <c r="G294" s="10"/>
      <c r="H294" s="10"/>
    </row>
    <row r="295" spans="1:8" s="5" customFormat="1" x14ac:dyDescent="0.15">
      <c r="A295" s="7"/>
      <c r="B295" s="31"/>
      <c r="E295" s="8"/>
      <c r="F295" s="9"/>
      <c r="G295" s="10"/>
      <c r="H295" s="10"/>
    </row>
    <row r="296" spans="1:8" s="5" customFormat="1" x14ac:dyDescent="0.15">
      <c r="A296" s="7"/>
      <c r="B296" s="31"/>
      <c r="E296" s="8"/>
      <c r="F296" s="9"/>
      <c r="G296" s="10"/>
      <c r="H296" s="10"/>
    </row>
    <row r="297" spans="1:8" s="5" customFormat="1" x14ac:dyDescent="0.15">
      <c r="A297" s="7"/>
      <c r="B297" s="31"/>
      <c r="E297" s="8"/>
      <c r="F297" s="9"/>
      <c r="G297" s="10"/>
      <c r="H297" s="10"/>
    </row>
    <row r="298" spans="1:8" s="5" customFormat="1" x14ac:dyDescent="0.15">
      <c r="A298" s="7"/>
      <c r="B298" s="31"/>
      <c r="E298" s="8"/>
      <c r="F298" s="9"/>
      <c r="G298" s="10"/>
      <c r="H298" s="10"/>
    </row>
    <row r="299" spans="1:8" s="5" customFormat="1" x14ac:dyDescent="0.15">
      <c r="A299" s="7"/>
      <c r="B299" s="31"/>
      <c r="E299" s="8"/>
      <c r="F299" s="9"/>
      <c r="G299" s="10"/>
      <c r="H299" s="10"/>
    </row>
    <row r="300" spans="1:8" s="5" customFormat="1" x14ac:dyDescent="0.15">
      <c r="A300" s="7"/>
      <c r="B300" s="31"/>
      <c r="E300" s="8"/>
      <c r="F300" s="9"/>
      <c r="G300" s="10"/>
      <c r="H300" s="10"/>
    </row>
    <row r="304" spans="1:8" s="1" customFormat="1" x14ac:dyDescent="0.15">
      <c r="A304" s="7"/>
      <c r="B304" s="31"/>
      <c r="C304" s="5"/>
      <c r="D304" s="5"/>
      <c r="E304" s="8"/>
      <c r="F304" s="9"/>
      <c r="G304" s="10"/>
      <c r="H304" s="10"/>
    </row>
    <row r="305" spans="1:8" s="1" customFormat="1" x14ac:dyDescent="0.15">
      <c r="A305" s="7"/>
      <c r="B305" s="31"/>
      <c r="C305" s="5"/>
      <c r="D305" s="5"/>
      <c r="E305" s="8"/>
      <c r="F305" s="9"/>
      <c r="G305" s="10"/>
      <c r="H305" s="10"/>
    </row>
    <row r="312" spans="1:8" s="1" customFormat="1" x14ac:dyDescent="0.15">
      <c r="A312" s="7"/>
      <c r="B312" s="31"/>
      <c r="C312" s="5"/>
      <c r="D312" s="5"/>
      <c r="E312" s="8"/>
      <c r="F312" s="9"/>
      <c r="G312" s="10"/>
      <c r="H312" s="10"/>
    </row>
    <row r="313" spans="1:8" s="1" customFormat="1" x14ac:dyDescent="0.15">
      <c r="A313" s="7"/>
      <c r="B313" s="31"/>
      <c r="C313" s="5"/>
      <c r="D313" s="5"/>
      <c r="E313" s="8"/>
      <c r="F313" s="9"/>
      <c r="G313" s="10"/>
      <c r="H313" s="10"/>
    </row>
    <row r="316" spans="1:8" s="1" customFormat="1" x14ac:dyDescent="0.15">
      <c r="A316" s="7"/>
      <c r="B316" s="31"/>
      <c r="C316" s="5"/>
      <c r="D316" s="5"/>
      <c r="E316" s="8"/>
      <c r="F316" s="9"/>
      <c r="G316" s="10"/>
      <c r="H316" s="10"/>
    </row>
    <row r="317" spans="1:8" s="1" customFormat="1" x14ac:dyDescent="0.15">
      <c r="A317" s="7"/>
      <c r="B317" s="31"/>
      <c r="C317" s="5"/>
      <c r="D317" s="5"/>
      <c r="E317" s="8"/>
      <c r="F317" s="9"/>
      <c r="G317" s="10"/>
      <c r="H317" s="10"/>
    </row>
    <row r="326" spans="1:8" s="1" customFormat="1" x14ac:dyDescent="0.15">
      <c r="A326" s="7"/>
      <c r="B326" s="31"/>
      <c r="C326" s="5"/>
      <c r="D326" s="5"/>
      <c r="E326" s="8"/>
      <c r="F326" s="9"/>
      <c r="G326" s="10"/>
      <c r="H326" s="10"/>
    </row>
    <row r="327" spans="1:8" s="1" customFormat="1" x14ac:dyDescent="0.15">
      <c r="A327" s="7"/>
      <c r="B327" s="31"/>
      <c r="C327" s="5"/>
      <c r="D327" s="5"/>
      <c r="E327" s="8"/>
      <c r="F327" s="9"/>
      <c r="G327" s="10"/>
      <c r="H327" s="10"/>
    </row>
    <row r="328" spans="1:8" s="1" customFormat="1" x14ac:dyDescent="0.15">
      <c r="A328" s="7"/>
      <c r="B328" s="31"/>
      <c r="C328" s="5"/>
      <c r="D328" s="5"/>
      <c r="E328" s="8"/>
      <c r="F328" s="9"/>
      <c r="G328" s="10"/>
      <c r="H328" s="10"/>
    </row>
    <row r="329" spans="1:8" s="1" customFormat="1" x14ac:dyDescent="0.15">
      <c r="A329" s="7"/>
      <c r="B329" s="31"/>
      <c r="C329" s="5"/>
      <c r="D329" s="5"/>
      <c r="E329" s="8"/>
      <c r="F329" s="9"/>
      <c r="G329" s="10"/>
      <c r="H329" s="10"/>
    </row>
    <row r="339" spans="1:8" s="1" customFormat="1" x14ac:dyDescent="0.15">
      <c r="A339" s="7"/>
      <c r="B339" s="31"/>
      <c r="C339" s="5"/>
      <c r="D339" s="5"/>
      <c r="E339" s="8"/>
      <c r="F339" s="9"/>
      <c r="G339" s="10"/>
      <c r="H339" s="10"/>
    </row>
    <row r="415" spans="1:8" s="1" customFormat="1" x14ac:dyDescent="0.15">
      <c r="A415" s="7"/>
      <c r="B415" s="31"/>
      <c r="C415" s="5"/>
      <c r="D415" s="5"/>
      <c r="E415" s="8"/>
      <c r="F415" s="9"/>
      <c r="G415" s="10"/>
      <c r="H415" s="10"/>
    </row>
    <row r="416" spans="1:8" s="1" customFormat="1" x14ac:dyDescent="0.15">
      <c r="A416" s="7"/>
      <c r="B416" s="31"/>
      <c r="C416" s="5"/>
      <c r="D416" s="5"/>
      <c r="E416" s="8"/>
      <c r="F416" s="9"/>
      <c r="G416" s="10"/>
      <c r="H416" s="10"/>
    </row>
    <row r="638" spans="1:8" s="1" customFormat="1" x14ac:dyDescent="0.15">
      <c r="A638" s="7"/>
      <c r="B638" s="31"/>
      <c r="C638" s="5"/>
      <c r="D638" s="5"/>
      <c r="E638" s="8"/>
      <c r="F638" s="9"/>
      <c r="G638" s="10"/>
      <c r="H638" s="10"/>
    </row>
    <row r="670" spans="1:8" s="1" customFormat="1" x14ac:dyDescent="0.15">
      <c r="A670" s="7"/>
      <c r="B670" s="31"/>
      <c r="C670" s="5"/>
      <c r="D670" s="5"/>
      <c r="E670" s="8"/>
      <c r="F670" s="9"/>
      <c r="G670" s="10"/>
      <c r="H670" s="10"/>
    </row>
    <row r="671" spans="1:8" s="1" customFormat="1" x14ac:dyDescent="0.15">
      <c r="A671" s="7"/>
      <c r="B671" s="31"/>
      <c r="C671" s="5"/>
      <c r="D671" s="5"/>
      <c r="E671" s="8"/>
      <c r="F671" s="9"/>
      <c r="G671" s="10"/>
      <c r="H671" s="10"/>
    </row>
    <row r="686" spans="1:8" s="5" customFormat="1" x14ac:dyDescent="0.15">
      <c r="A686" s="7"/>
      <c r="B686" s="31"/>
      <c r="E686" s="8"/>
      <c r="F686" s="9"/>
      <c r="G686" s="10"/>
      <c r="H686" s="10"/>
    </row>
    <row r="687" spans="1:8" s="5" customFormat="1" x14ac:dyDescent="0.15">
      <c r="A687" s="7"/>
      <c r="B687" s="31"/>
      <c r="E687" s="8"/>
      <c r="F687" s="9"/>
      <c r="G687" s="10"/>
      <c r="H687" s="10"/>
    </row>
    <row r="688" spans="1:8" s="5" customFormat="1" x14ac:dyDescent="0.15">
      <c r="A688" s="7"/>
      <c r="B688" s="31"/>
      <c r="E688" s="8"/>
      <c r="F688" s="9"/>
      <c r="G688" s="10"/>
      <c r="H688" s="10"/>
    </row>
    <row r="689" spans="1:8" s="5" customFormat="1" x14ac:dyDescent="0.15">
      <c r="A689" s="7"/>
      <c r="B689" s="31"/>
      <c r="E689" s="8"/>
      <c r="F689" s="9"/>
      <c r="G689" s="10"/>
      <c r="H689" s="10"/>
    </row>
    <row r="690" spans="1:8" s="5" customFormat="1" x14ac:dyDescent="0.15">
      <c r="A690" s="7"/>
      <c r="B690" s="31"/>
      <c r="E690" s="8"/>
      <c r="F690" s="9"/>
      <c r="G690" s="10"/>
      <c r="H690" s="10"/>
    </row>
    <row r="691" spans="1:8" s="5" customFormat="1" x14ac:dyDescent="0.15">
      <c r="A691" s="7"/>
      <c r="B691" s="31"/>
      <c r="E691" s="8"/>
      <c r="F691" s="9"/>
      <c r="G691" s="10"/>
      <c r="H691" s="10"/>
    </row>
    <row r="741" spans="1:8" s="5" customFormat="1" x14ac:dyDescent="0.15">
      <c r="A741" s="7"/>
      <c r="B741" s="31"/>
      <c r="E741" s="8"/>
      <c r="F741" s="9"/>
      <c r="G741" s="10"/>
      <c r="H741" s="10"/>
    </row>
  </sheetData>
  <printOptions horizontalCentered="1" verticalCentered="1" gridLines="1"/>
  <pageMargins left="0.35433070866141736" right="0.55118110236220474" top="0.74803149606299213" bottom="0.74803149606299213" header="0.39370078740157483" footer="0.39370078740157483"/>
  <pageSetup paperSize="9" scale="76" firstPageNumber="31" orientation="portrait" useFirstPageNumber="1" r:id="rId1"/>
  <headerFooter>
    <oddHeader xml:space="preserve">&amp;L&amp;K608097175 Glasgow Road, Clydebank&amp;C&amp;K608097Collection&amp;R&amp;K608097Terminal Schedule of Dilapidations    </oddHeader>
    <oddFooter>&amp;L&amp;K608097Melville Gomes Associates &amp;C&amp;K608097&amp;P&amp;R&amp;K608097Chartered Building Surveyors</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Front Pages</vt:lpstr>
      <vt:lpstr>External</vt:lpstr>
      <vt:lpstr>Ground Floor</vt:lpstr>
      <vt:lpstr>First Floor</vt:lpstr>
      <vt:lpstr>General Items</vt:lpstr>
      <vt:lpstr>Collection</vt:lpstr>
      <vt:lpstr>Collection!Print_Area</vt:lpstr>
      <vt:lpstr>External!Print_Area</vt:lpstr>
      <vt:lpstr>'First Floor'!Print_Area</vt:lpstr>
      <vt:lpstr>'Front Pages'!Print_Area</vt:lpstr>
      <vt:lpstr>'General Items'!Print_Area</vt:lpstr>
      <vt:lpstr>'Ground Floor'!Print_Area</vt:lpstr>
      <vt:lpstr>External!Print_Titles</vt:lpstr>
      <vt:lpstr>'First Floor'!Print_Titles</vt:lpstr>
      <vt:lpstr>'Front Pages'!Print_Titles</vt:lpstr>
      <vt:lpstr>'General Items'!Print_Titles</vt:lpstr>
      <vt:lpstr>'Ground Floor'!Print_Titles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MGA</dc:creator>
  <cp:keywords/>
  <dc:description/>
  <cp:lastModifiedBy>Anthony Loughlin-Gomes</cp:lastModifiedBy>
  <cp:revision/>
  <cp:lastPrinted>2025-07-24T14:04:58Z</cp:lastPrinted>
  <dcterms:created xsi:type="dcterms:W3CDTF">2013-09-19T08:37:06Z</dcterms:created>
  <dcterms:modified xsi:type="dcterms:W3CDTF">2025-11-05T09:11:40Z</dcterms:modified>
  <cp:category/>
  <cp:contentStatus/>
</cp:coreProperties>
</file>