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nton/Development/docgen/examples/"/>
    </mc:Choice>
  </mc:AlternateContent>
  <xr:revisionPtr revIDLastSave="0" documentId="13_ncr:1_{A0EDCCEB-87E1-A94C-9EA8-8C5ED6C25F07}" xr6:coauthVersionLast="47" xr6:coauthVersionMax="47" xr10:uidLastSave="{00000000-0000-0000-0000-000000000000}"/>
  <bookViews>
    <workbookView xWindow="23360" yWindow="-3160" windowWidth="38400" windowHeight="20980" activeTab="3" xr2:uid="{00000000-000D-0000-FFFF-FFFF00000000}"/>
  </bookViews>
  <sheets>
    <sheet name="Sheet1" sheetId="5" r:id="rId1"/>
    <sheet name="1 External" sheetId="1" r:id="rId2"/>
    <sheet name="2 Ground Floor" sheetId="2" r:id="rId3"/>
    <sheet name="3 Basement" sheetId="3" r:id="rId4"/>
    <sheet name="4 Summary" sheetId="4" r:id="rId5"/>
  </sheets>
  <definedNames>
    <definedName name="_xlnm.Print_Titles" localSheetId="1">'1 External'!1:1</definedName>
    <definedName name="_xlnm.Print_Titles" localSheetId="2">'2 Ground Floor'!1:1</definedName>
    <definedName name="_xlnm.Print_Titles" localSheetId="3">'3 Basement'!1:1</definedName>
    <definedName name="_xlnm.Print_Titles" localSheetId="4">'4 Summary'!1:1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H26" i="3"/>
  <c r="H25" i="3"/>
  <c r="H24" i="3"/>
  <c r="H21" i="3"/>
  <c r="H20" i="3"/>
  <c r="H19" i="3"/>
  <c r="H18" i="3"/>
  <c r="H17" i="3"/>
  <c r="H14" i="3"/>
  <c r="H13" i="3"/>
  <c r="H12" i="3"/>
  <c r="H9" i="3"/>
  <c r="H8" i="3"/>
  <c r="H7" i="3"/>
  <c r="H27" i="3" s="1"/>
  <c r="B6" i="4" s="1"/>
  <c r="H4" i="3"/>
  <c r="H3" i="3"/>
  <c r="H27" i="2"/>
  <c r="H26" i="2"/>
  <c r="H25" i="2"/>
  <c r="H24" i="2"/>
  <c r="H23" i="2"/>
  <c r="H20" i="2"/>
  <c r="H19" i="2"/>
  <c r="H16" i="2"/>
  <c r="H15" i="2"/>
  <c r="H12" i="2"/>
  <c r="H11" i="2"/>
  <c r="H10" i="2"/>
  <c r="H9" i="2"/>
  <c r="H8" i="2"/>
  <c r="H7" i="2"/>
  <c r="H6" i="2"/>
  <c r="H5" i="2"/>
  <c r="H4" i="2"/>
  <c r="H3" i="2"/>
  <c r="H28" i="2" s="1"/>
  <c r="B5" i="4" s="1"/>
  <c r="H9" i="1"/>
  <c r="B4" i="4" s="1"/>
  <c r="H8" i="1"/>
  <c r="H7" i="1"/>
  <c r="H6" i="1"/>
  <c r="H3" i="1"/>
</calcChain>
</file>

<file path=xl/sharedStrings.xml><?xml version="1.0" encoding="utf-8"?>
<sst xmlns="http://schemas.openxmlformats.org/spreadsheetml/2006/main" count="247" uniqueCount="163">
  <si>
    <t>Ref</t>
  </si>
  <si>
    <t>Lease clause</t>
  </si>
  <si>
    <t>Want of repair</t>
  </si>
  <si>
    <t>Remedy</t>
  </si>
  <si>
    <t>U</t>
  </si>
  <si>
    <t>Q</t>
  </si>
  <si>
    <t>R</t>
  </si>
  <si>
    <t>£</t>
  </si>
  <si>
    <t>Front / Shopfront (External)</t>
  </si>
  <si>
    <t>1.1</t>
  </si>
  <si>
    <t>TENTH</t>
  </si>
  <si>
    <t>Frosting/vinyl and signage to glazing; graffiti; rotten timber; flashing issues</t>
  </si>
  <si>
    <t>Remove frosting/vinyl/signage; clean glazing; repair/replace rotten timber; replace lead flashing; redecorate fascia/surround</t>
  </si>
  <si>
    <t>item</t>
  </si>
  <si>
    <t>Rear Elevation</t>
  </si>
  <si>
    <t>1.2</t>
  </si>
  <si>
    <t>FIRST</t>
  </si>
  <si>
    <t>Three holes/penetrations in stone wall</t>
  </si>
  <si>
    <t>Make good stone and seal penetrations to match existing</t>
  </si>
  <si>
    <t>nr</t>
  </si>
  <si>
    <t>1.3</t>
  </si>
  <si>
    <t>SECOND</t>
  </si>
  <si>
    <t>Rear fire door and surround weathered/scratched</t>
  </si>
  <si>
    <t>Prepare and redecorate external door and frame with exterior system</t>
  </si>
  <si>
    <t>1.4</t>
  </si>
  <si>
    <t>Concrete step cracked/deteriorated</t>
  </si>
  <si>
    <t>Local concrete repair and re-seal</t>
  </si>
  <si>
    <t>Subtotal</t>
  </si>
  <si>
    <t>Main Store</t>
  </si>
  <si>
    <t>2.1</t>
  </si>
  <si>
    <t>FIRST; SECOND</t>
  </si>
  <si>
    <t>Ceiling soiled/damaged; holes incl. 0.4×1.0 m; redundant lights</t>
  </si>
  <si>
    <t>Patch plasterboard; remove redundant fittings; redecorate ceiling throughout</t>
  </si>
  <si>
    <t>2.2</t>
  </si>
  <si>
    <t>FIRST; SIXTEENTH</t>
  </si>
  <si>
    <t>Metal boarding/shelving &amp; timber supports to S/E/W walls</t>
  </si>
  <si>
    <t>Remove boards/shelving; make good fixings; redecorate walls</t>
  </si>
  <si>
    <t>2.3</t>
  </si>
  <si>
    <t>Vinyl laminate flooring scratched with tape repairs and decals</t>
  </si>
  <si>
    <t>Remove and replace with new commercial vinyl incl. subfloor prep</t>
  </si>
  <si>
    <t>m²</t>
  </si>
  <si>
    <t>2.4</t>
  </si>
  <si>
    <t>L-shaped glazed counter and raised platform (~5 m)</t>
  </si>
  <si>
    <t>Remove counter and platform; make good floor/decorations</t>
  </si>
  <si>
    <t>2.5</t>
  </si>
  <si>
    <t>SECOND; TENTH</t>
  </si>
  <si>
    <t>Shopfront (internal) door/glazing scratched; surrounds require redecoration</t>
  </si>
  <si>
    <t>Clean glazing; redecorate door/surround; minor carpentry repairs</t>
  </si>
  <si>
    <t>2.6</t>
  </si>
  <si>
    <t>Stairwell finishes: missing ceiling areas; partitions/door to remove</t>
  </si>
  <si>
    <t>Remove partitions; form/repair ceilings; redecorate</t>
  </si>
  <si>
    <t>2.7</t>
  </si>
  <si>
    <t>Stair flooring &amp; nosings worn</t>
  </si>
  <si>
    <t>Replace vinyl to treads/landings; new nosings; redecorate stringer/handrail</t>
  </si>
  <si>
    <t>2.8</t>
  </si>
  <si>
    <t>Rear store (GF): ceilings/walls fixings and penetrations; dark lighting</t>
  </si>
  <si>
    <t>Make good; redecorate; install new LED; make safe redundant wiring</t>
  </si>
  <si>
    <t>2.9</t>
  </si>
  <si>
    <t>Rear store (GF): flooring replacement</t>
  </si>
  <si>
    <t>Remove laminate; install new commercial vinyl</t>
  </si>
  <si>
    <t>2.10</t>
  </si>
  <si>
    <t>Rear store: doors x4 damaged/poor ironmongery; frames to repair</t>
  </si>
  <si>
    <t>Repair leaves/frames; new ironmongery sets; redecorate</t>
  </si>
  <si>
    <t>Toilet (GF)</t>
  </si>
  <si>
    <t>2.11</t>
  </si>
  <si>
    <t>Walls/tiles: holes; soiled grout; tile missing</t>
  </si>
  <si>
    <t>Regrout; replace tiles; make good</t>
  </si>
  <si>
    <t>2.12</t>
  </si>
  <si>
    <t>Floor: marked vinyl; no threshold</t>
  </si>
  <si>
    <t>Replace vinyl; install threshold</t>
  </si>
  <si>
    <t>Corridor (GF)</t>
  </si>
  <si>
    <t>2.13</t>
  </si>
  <si>
    <t>Ceilings/walls soiled with holes; blinking downlighters</t>
  </si>
  <si>
    <t>Infill holes; redecorate; replace faulty downlighters</t>
  </si>
  <si>
    <t>2.14</t>
  </si>
  <si>
    <t>Flooring replacement; redecorate door frame</t>
  </si>
  <si>
    <t>Remove and replace with commercial vinyl; redecorate frame</t>
  </si>
  <si>
    <t>Rear Bedroom / Office (GF)</t>
  </si>
  <si>
    <t>2.15</t>
  </si>
  <si>
    <t>FIRST; THIRD; SIXTEENTH</t>
  </si>
  <si>
    <t>Non-compliant FD door requiring replacement</t>
  </si>
  <si>
    <t>Replace with FD30 door set incl. closers/seals; decorate</t>
  </si>
  <si>
    <t>2.16</t>
  </si>
  <si>
    <t>Walls/ceiling impact damage; tiles/whiteboards to remove; light to replace</t>
  </si>
  <si>
    <t>Remove tiles/whiteboards; make good plaster; redecorate; replace light</t>
  </si>
  <si>
    <t>2.17</t>
  </si>
  <si>
    <t>FIRST; THIRD</t>
  </si>
  <si>
    <t>Ventilation not working; electric convector heater present</t>
  </si>
  <si>
    <t>Service/replace mechanical vent; remove heater; make good</t>
  </si>
  <si>
    <t>2.18</t>
  </si>
  <si>
    <t>Skirting to clean/redecorate; missing to east wall</t>
  </si>
  <si>
    <t>Redecorate skirtings and install new to east wall</t>
  </si>
  <si>
    <t>2.19</t>
  </si>
  <si>
    <t>Floor: carpet tiles loose/marked/stained</t>
  </si>
  <si>
    <t>Lift and dispose; install new resilient floor finish</t>
  </si>
  <si>
    <t>Electrical Cupboard</t>
  </si>
  <si>
    <t>3.1</t>
  </si>
  <si>
    <t>Suspended ceiling grid deformed; tiles missing; lights graffitied</t>
  </si>
  <si>
    <t>Replace grid and tiles; replace light fittings</t>
  </si>
  <si>
    <t>3.2</t>
  </si>
  <si>
    <t>Loose/unsecured cable</t>
  </si>
  <si>
    <t>Make safe and secure; test</t>
  </si>
  <si>
    <t>Male Toilet</t>
  </si>
  <si>
    <t>3.3</t>
  </si>
  <si>
    <t>FIRST; SECOND; THIRD</t>
  </si>
  <si>
    <t>Lights partly non-functional; ventilation; general cleaning required</t>
  </si>
  <si>
    <t>Redecorate ceilings; replace lights; remove speakers; service extract; sanitary clean</t>
  </si>
  <si>
    <t>3.4</t>
  </si>
  <si>
    <t>Walls: soiled/stained; sanitiser fittings to remove</t>
  </si>
  <si>
    <t>Make good fixing holes; redecorate</t>
  </si>
  <si>
    <t>3.5</t>
  </si>
  <si>
    <t>Flooring &amp; skirtings to renew/redecorate</t>
  </si>
  <si>
    <t>Replace vinyl; renew skirtings; redecorate timber skirtings</t>
  </si>
  <si>
    <t>Female Toilet</t>
  </si>
  <si>
    <t>3.6</t>
  </si>
  <si>
    <t>As male toilet</t>
  </si>
  <si>
    <t>3.7</t>
  </si>
  <si>
    <t>Walls: as male</t>
  </si>
  <si>
    <t>Make good; redecorate</t>
  </si>
  <si>
    <t>3.8</t>
  </si>
  <si>
    <t>Flooring &amp; skirtings: as male</t>
  </si>
  <si>
    <t>Replace vinyl; renew/decorate skirtings</t>
  </si>
  <si>
    <t>Store Room (Basement)</t>
  </si>
  <si>
    <t>3.9</t>
  </si>
  <si>
    <t>FIRST; SECOND; FIFTH</t>
  </si>
  <si>
    <t>Lowered plasterboard with mould; speaker system; faulty emergency light</t>
  </si>
  <si>
    <t>Remove speakers; clean mould; redecorate; replace emergency light</t>
  </si>
  <si>
    <t>3.10</t>
  </si>
  <si>
    <t>Walls marked with fittings/holes; mech ventilation doubtful</t>
  </si>
  <si>
    <t>Make good and redecorate; service/remove wall fan</t>
  </si>
  <si>
    <t>3.11</t>
  </si>
  <si>
    <t>Skirtings marked/soiled</t>
  </si>
  <si>
    <t>Prepare and redecorate</t>
  </si>
  <si>
    <t>3.12</t>
  </si>
  <si>
    <t>Floor: vinyl missing centrally; stained</t>
  </si>
  <si>
    <t>Remove and replace with new commercial vinyl</t>
  </si>
  <si>
    <t>3.13</t>
  </si>
  <si>
    <t>Rubbish present; redundant units; no door to room</t>
  </si>
  <si>
    <t>Clear waste; remove redundant units; allow for new door by agreement</t>
  </si>
  <si>
    <t>3.14</t>
  </si>
  <si>
    <t>Ceiling/walls require clean/redecoration; west ply failed; east wall impact damage</t>
  </si>
  <si>
    <t>Clean and redecorate; replace damaged ply; repair impact damage</t>
  </si>
  <si>
    <t>3.15</t>
  </si>
  <si>
    <t>Floor: concrete requires preparation</t>
  </si>
  <si>
    <t>Scarify concrete floor</t>
  </si>
  <si>
    <t>3.16</t>
  </si>
  <si>
    <t>Electrical distribution board cover missing</t>
  </si>
  <si>
    <t>Refit/replace DB cover; certify safe</t>
  </si>
  <si>
    <t>Cost Summary</t>
  </si>
  <si>
    <t>Section</t>
  </si>
  <si>
    <t>Subtotal (£)</t>
  </si>
  <si>
    <t>External</t>
  </si>
  <si>
    <t>Ground Floor</t>
  </si>
  <si>
    <t>Basement</t>
  </si>
  <si>
    <t>TOTAL</t>
  </si>
  <si>
    <t>DRAFT</t>
  </si>
  <si>
    <t>Schedule of Dilapidations</t>
  </si>
  <si>
    <t xml:space="preserve">of </t>
  </si>
  <si>
    <t xml:space="preserve">Glasgow. </t>
  </si>
  <si>
    <t>315 - 349 Sauchiehall Street,</t>
  </si>
  <si>
    <t>Glasgow City Center,</t>
  </si>
  <si>
    <t>G2 3HW</t>
  </si>
  <si>
    <t>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</si>
</sst>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"/>
    <numFmt numFmtId="165" formatCode="0.0"/>
    <numFmt numFmtId="166" formatCode="&quot;£&quot;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4E128A"/>
      <name val="Calibri"/>
      <family val="2"/>
    </font>
    <font>
      <b/>
      <sz val="11"/>
      <color theme="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24"/>
      <color rgb="FF60809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0809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2" fillId="0" borderId="1" xfId="0" applyFont="1" applyBorder="1"/>
    <xf numFmtId="0" fontId="3" fillId="0" borderId="0" xfId="0" applyFon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/>
    <xf numFmtId="0" fontId="1" fillId="2" borderId="0" xfId="0" applyFont="1" applyFill="1"/>
    <xf numFmtId="165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166" fontId="4" fillId="0" borderId="0" xfId="0" applyNumberFormat="1" applyFont="1" applyAlignment="1">
      <alignment horizontal="center" wrapText="1"/>
    </xf>
    <xf numFmtId="0" fontId="5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center" wrapText="1"/>
      <protection locked="0"/>
    </xf>
    <xf numFmtId="1" fontId="6" fillId="0" borderId="0" xfId="0" applyNumberFormat="1" applyFont="1" applyAlignment="1" applyProtection="1">
      <alignment horizontal="center" wrapText="1"/>
      <protection locked="0"/>
    </xf>
    <xf numFmtId="166" fontId="6" fillId="0" borderId="0" xfId="0" applyNumberFormat="1" applyFont="1" applyAlignment="1" applyProtection="1">
      <alignment horizont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65" fontId="6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165" fontId="6" fillId="0" borderId="0" xfId="0" applyNumberFormat="1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wrapText="1"/>
      <protection locked="0"/>
    </xf>
    <xf numFmtId="165" fontId="6" fillId="0" borderId="0" xfId="0" applyNumberFormat="1" applyFont="1" applyAlignment="1" applyProtection="1">
      <alignment horizontal="center" wrapText="1"/>
      <protection locked="0"/>
    </xf>
    <xf numFmtId="0" fontId="0" fillId="0" borderId="0" xfId="0" applyAlignment="1">
      <alignment horizont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 applyProtection="1">
      <alignment horizontal="left" vertical="center" wrapText="1"/>
      <protection locked="0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>
      <alignment vertical="center" wrapText="1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/>
    </xf>
    <xf numFmtId="17" fontId="8" fillId="0" borderId="0" xfId="0" applyNumberFormat="1" applyFont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080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169332</xdr:rowOff>
    </xdr:from>
    <xdr:to>
      <xdr:col>3</xdr:col>
      <xdr:colOff>556453</xdr:colOff>
      <xdr:row>10</xdr:row>
      <xdr:rowOff>178504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16C17-EC48-7D43-B471-5709431B3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932"/>
          <a:ext cx="3032953" cy="1152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B318-3A91-EC4A-9575-3861FD07A438}">
  <dimension ref="A1:H43"/>
  <sheetViews>
    <sheetView view="pageLayout" topLeftCell="A8" zoomScaleNormal="100" workbookViewId="0">
      <selection activeCell="A32" sqref="A32:G32"/>
    </sheetView>
  </sheetViews>
  <sheetFormatPr baseColWidth="10" defaultRowHeight="15" x14ac:dyDescent="0.2"/>
  <sheetData>
    <row r="1" spans="1:8" ht="16" x14ac:dyDescent="0.2">
      <c r="A1" s="11"/>
      <c r="B1" s="12"/>
      <c r="C1" s="13"/>
      <c r="D1" s="14"/>
      <c r="E1" s="15"/>
      <c r="F1" s="15"/>
      <c r="G1" s="15"/>
      <c r="H1" s="16"/>
    </row>
    <row r="2" spans="1:8" x14ac:dyDescent="0.2">
      <c r="A2" s="11"/>
      <c r="B2" s="12"/>
      <c r="C2" s="17"/>
      <c r="D2" s="18"/>
      <c r="E2" s="19"/>
      <c r="F2" s="19"/>
      <c r="G2" s="19"/>
      <c r="H2" s="20"/>
    </row>
    <row r="3" spans="1:8" x14ac:dyDescent="0.2">
      <c r="A3" s="11"/>
      <c r="B3" s="12"/>
      <c r="C3" s="17"/>
      <c r="D3" s="18"/>
      <c r="E3" s="19"/>
      <c r="F3" s="19"/>
      <c r="G3" s="19"/>
      <c r="H3" s="20"/>
    </row>
    <row r="4" spans="1:8" x14ac:dyDescent="0.2">
      <c r="A4" s="11"/>
      <c r="B4" s="12"/>
      <c r="C4" s="17"/>
      <c r="D4" s="18"/>
      <c r="E4" s="19"/>
      <c r="F4" s="19"/>
      <c r="G4" s="19"/>
      <c r="H4" s="20"/>
    </row>
    <row r="5" spans="1:8" x14ac:dyDescent="0.2">
      <c r="A5" s="21"/>
      <c r="B5" s="22"/>
      <c r="C5" s="17"/>
      <c r="D5" s="18"/>
      <c r="E5" s="19"/>
      <c r="F5" s="19"/>
      <c r="G5" s="19"/>
      <c r="H5" s="20"/>
    </row>
    <row r="6" spans="1:8" x14ac:dyDescent="0.2">
      <c r="A6" s="23"/>
      <c r="B6" s="24"/>
      <c r="C6" s="17"/>
      <c r="D6" s="18"/>
      <c r="E6" s="19"/>
      <c r="F6" s="19"/>
      <c r="G6" s="19"/>
      <c r="H6" s="20"/>
    </row>
    <row r="7" spans="1:8" x14ac:dyDescent="0.2">
      <c r="A7" s="23"/>
      <c r="B7" s="25"/>
      <c r="C7" s="17"/>
      <c r="D7" s="18"/>
      <c r="E7" s="19"/>
      <c r="F7" s="19"/>
      <c r="G7" s="19"/>
      <c r="H7" s="20"/>
    </row>
    <row r="8" spans="1:8" x14ac:dyDescent="0.2">
      <c r="A8" s="23"/>
      <c r="B8" s="25"/>
      <c r="C8" s="17"/>
      <c r="D8" s="18"/>
      <c r="E8" s="19"/>
      <c r="F8" s="19"/>
      <c r="G8" s="19"/>
      <c r="H8" s="20"/>
    </row>
    <row r="9" spans="1:8" x14ac:dyDescent="0.2">
      <c r="A9" s="23"/>
      <c r="B9" s="25"/>
      <c r="C9" s="26"/>
      <c r="D9" s="18"/>
      <c r="E9" s="19"/>
      <c r="F9" s="19"/>
      <c r="G9" s="19"/>
      <c r="H9" s="20"/>
    </row>
    <row r="10" spans="1:8" x14ac:dyDescent="0.2">
      <c r="A10" s="23"/>
      <c r="B10" s="25"/>
      <c r="C10" s="26"/>
      <c r="D10" s="18"/>
      <c r="E10" s="19"/>
      <c r="F10" s="19"/>
      <c r="G10" s="19"/>
      <c r="H10" s="20"/>
    </row>
    <row r="11" spans="1:8" x14ac:dyDescent="0.2">
      <c r="A11" s="23"/>
      <c r="B11" s="25"/>
      <c r="C11" s="26"/>
      <c r="D11" s="18"/>
      <c r="E11" s="19"/>
      <c r="F11" s="19"/>
      <c r="G11" s="19"/>
      <c r="H11" s="20"/>
    </row>
    <row r="12" spans="1:8" x14ac:dyDescent="0.2">
      <c r="A12" s="23"/>
      <c r="B12" s="25"/>
      <c r="C12" s="26"/>
      <c r="D12" s="18"/>
      <c r="E12" s="19"/>
      <c r="F12" s="19"/>
      <c r="G12" s="19"/>
      <c r="H12" s="20"/>
    </row>
    <row r="13" spans="1:8" x14ac:dyDescent="0.2">
      <c r="A13" s="21"/>
      <c r="B13" s="22"/>
      <c r="C13" s="26"/>
      <c r="D13" s="18"/>
      <c r="E13" s="19"/>
      <c r="F13" s="19"/>
      <c r="G13" s="19"/>
      <c r="H13" s="20"/>
    </row>
    <row r="14" spans="1:8" x14ac:dyDescent="0.2">
      <c r="A14" s="11"/>
      <c r="B14" s="12"/>
      <c r="C14" s="17"/>
      <c r="D14" s="18"/>
      <c r="E14" s="19"/>
      <c r="F14" s="19"/>
      <c r="G14" s="19"/>
      <c r="H14" s="20"/>
    </row>
    <row r="15" spans="1:8" x14ac:dyDescent="0.2">
      <c r="A15" s="11"/>
      <c r="B15" s="12"/>
      <c r="C15" s="17"/>
      <c r="D15" s="18"/>
      <c r="E15" s="19"/>
      <c r="F15" s="19"/>
      <c r="G15" s="19"/>
      <c r="H15" s="20"/>
    </row>
    <row r="16" spans="1:8" x14ac:dyDescent="0.2">
      <c r="A16" s="11"/>
      <c r="B16" s="12"/>
      <c r="C16" s="17"/>
      <c r="D16" s="18"/>
      <c r="E16" s="19"/>
      <c r="F16" s="19"/>
      <c r="G16" s="19"/>
      <c r="H16" s="20"/>
    </row>
    <row r="17" spans="1:8" x14ac:dyDescent="0.2">
      <c r="A17" s="11"/>
      <c r="B17" s="12"/>
      <c r="C17" s="17"/>
      <c r="D17" s="18"/>
      <c r="E17" s="19"/>
      <c r="F17" s="19"/>
      <c r="G17" s="19"/>
      <c r="H17" s="20"/>
    </row>
    <row r="18" spans="1:8" ht="30" x14ac:dyDescent="0.2">
      <c r="A18" s="27" t="s">
        <v>155</v>
      </c>
      <c r="B18" s="27"/>
      <c r="C18" s="22"/>
      <c r="D18" s="22"/>
      <c r="E18" s="22"/>
      <c r="F18" s="22"/>
      <c r="G18" s="22"/>
      <c r="H18" s="20"/>
    </row>
    <row r="19" spans="1:8" ht="30" x14ac:dyDescent="0.3">
      <c r="A19" s="28"/>
      <c r="B19" s="29"/>
      <c r="C19" s="30"/>
      <c r="D19" s="30"/>
      <c r="E19" s="30"/>
      <c r="F19" s="30"/>
      <c r="G19" s="30"/>
      <c r="H19" s="31"/>
    </row>
    <row r="20" spans="1:8" ht="30" x14ac:dyDescent="0.2">
      <c r="A20" s="32" t="s">
        <v>156</v>
      </c>
      <c r="B20" s="32"/>
      <c r="C20" s="22"/>
      <c r="D20" s="22"/>
      <c r="E20" s="22"/>
      <c r="F20" s="22"/>
      <c r="G20" s="22"/>
      <c r="H20" s="31"/>
    </row>
    <row r="21" spans="1:8" ht="30" x14ac:dyDescent="0.3">
      <c r="A21" s="33"/>
      <c r="B21" s="34"/>
      <c r="C21" s="30"/>
      <c r="D21" s="30"/>
      <c r="E21" s="30"/>
      <c r="F21" s="30"/>
      <c r="G21" s="30"/>
      <c r="H21" s="31"/>
    </row>
    <row r="22" spans="1:8" ht="24" customHeight="1" x14ac:dyDescent="0.2">
      <c r="A22" s="32" t="s">
        <v>157</v>
      </c>
      <c r="B22" s="22"/>
      <c r="C22" s="22"/>
      <c r="D22" s="22"/>
      <c r="E22" s="22"/>
      <c r="F22" s="22"/>
      <c r="G22" s="22"/>
      <c r="H22" s="31"/>
    </row>
    <row r="23" spans="1:8" ht="30" x14ac:dyDescent="0.2">
      <c r="A23" s="33"/>
      <c r="B23" s="30"/>
      <c r="C23" s="30"/>
      <c r="D23" s="30"/>
      <c r="E23" s="30"/>
      <c r="F23" s="30"/>
      <c r="G23" s="30"/>
      <c r="H23" s="31"/>
    </row>
    <row r="24" spans="1:8" ht="43" customHeight="1" x14ac:dyDescent="0.2">
      <c r="A24" s="32" t="s">
        <v>159</v>
      </c>
      <c r="B24" s="22"/>
      <c r="C24" s="22"/>
      <c r="D24" s="22"/>
      <c r="E24" s="22"/>
      <c r="F24" s="22"/>
      <c r="G24" s="22"/>
      <c r="H24" s="31"/>
    </row>
    <row r="25" spans="1:8" ht="30" x14ac:dyDescent="0.2">
      <c r="A25" s="33"/>
      <c r="B25" s="30"/>
      <c r="C25" s="30"/>
      <c r="D25" s="30"/>
      <c r="E25" s="30"/>
      <c r="F25" s="30"/>
      <c r="G25" s="30"/>
      <c r="H25" s="20"/>
    </row>
    <row r="26" spans="1:8" ht="40" customHeight="1" x14ac:dyDescent="0.2">
      <c r="A26" s="32" t="s">
        <v>160</v>
      </c>
      <c r="B26" s="22"/>
      <c r="C26" s="22"/>
      <c r="D26" s="22"/>
      <c r="E26" s="22"/>
      <c r="F26" s="22"/>
      <c r="G26" s="22"/>
      <c r="H26" s="20"/>
    </row>
    <row r="27" spans="1:8" ht="30" x14ac:dyDescent="0.2">
      <c r="A27" s="33"/>
      <c r="B27" s="30"/>
      <c r="C27" s="30"/>
      <c r="D27" s="30"/>
      <c r="E27" s="30"/>
      <c r="F27" s="30"/>
      <c r="G27" s="30"/>
      <c r="H27" s="20"/>
    </row>
    <row r="28" spans="1:8" ht="30" x14ac:dyDescent="0.2">
      <c r="A28" s="35" t="s">
        <v>158</v>
      </c>
      <c r="B28" s="36"/>
      <c r="C28" s="36"/>
      <c r="D28" s="36"/>
      <c r="E28" s="36"/>
      <c r="F28" s="36"/>
      <c r="G28" s="36"/>
      <c r="H28" s="36"/>
    </row>
    <row r="29" spans="1:8" ht="30" x14ac:dyDescent="0.3">
      <c r="A29" s="37"/>
      <c r="B29" s="38"/>
      <c r="C29" s="38"/>
      <c r="D29" s="38"/>
      <c r="E29" s="38"/>
      <c r="F29" s="38"/>
      <c r="G29" s="38"/>
      <c r="H29" s="39"/>
    </row>
    <row r="30" spans="1:8" ht="30" x14ac:dyDescent="0.2">
      <c r="A30" s="35" t="s">
        <v>161</v>
      </c>
      <c r="B30" s="32"/>
      <c r="C30" s="32"/>
      <c r="D30" s="32"/>
      <c r="E30" s="32"/>
      <c r="F30" s="32"/>
      <c r="G30" s="32"/>
      <c r="H30" s="20"/>
    </row>
    <row r="31" spans="1:8" ht="30" x14ac:dyDescent="0.2">
      <c r="A31" s="37"/>
      <c r="B31" s="33"/>
      <c r="C31" s="33"/>
      <c r="D31" s="33"/>
      <c r="E31" s="33"/>
      <c r="F31" s="33"/>
      <c r="G31" s="33"/>
      <c r="H31" s="20"/>
    </row>
    <row r="32" spans="1:8" ht="30" x14ac:dyDescent="0.2">
      <c r="A32" s="42">
        <v>45962</v>
      </c>
      <c r="B32" s="32"/>
      <c r="C32" s="32"/>
      <c r="D32" s="32"/>
      <c r="E32" s="32"/>
      <c r="F32" s="32"/>
      <c r="G32" s="32"/>
      <c r="H32" s="20"/>
    </row>
    <row r="33" spans="1:8" x14ac:dyDescent="0.2">
      <c r="A33" s="11"/>
      <c r="B33" s="12"/>
      <c r="C33" s="17"/>
      <c r="D33" s="18"/>
      <c r="E33" s="19"/>
      <c r="F33" s="19"/>
      <c r="G33" s="19"/>
      <c r="H33" s="20"/>
    </row>
    <row r="34" spans="1:8" x14ac:dyDescent="0.2">
      <c r="A34" s="11"/>
      <c r="B34" s="12"/>
      <c r="C34" s="17"/>
      <c r="D34" s="18"/>
      <c r="E34" s="19"/>
      <c r="F34" s="19"/>
      <c r="G34" s="19"/>
      <c r="H34" s="20"/>
    </row>
    <row r="35" spans="1:8" x14ac:dyDescent="0.2">
      <c r="A35" s="11"/>
      <c r="B35" s="12"/>
      <c r="C35" s="17"/>
      <c r="D35" s="18"/>
      <c r="E35" s="19"/>
      <c r="F35" s="19"/>
      <c r="G35" s="19"/>
      <c r="H35" s="20"/>
    </row>
    <row r="36" spans="1:8" x14ac:dyDescent="0.2">
      <c r="A36" s="11"/>
      <c r="B36" s="12"/>
      <c r="C36" s="17"/>
      <c r="D36" s="18"/>
      <c r="E36" s="19"/>
      <c r="F36" s="19"/>
      <c r="G36" s="19"/>
      <c r="H36" s="20"/>
    </row>
    <row r="37" spans="1:8" x14ac:dyDescent="0.2">
      <c r="A37" s="11"/>
      <c r="B37" s="12"/>
      <c r="C37" s="17"/>
      <c r="D37" s="18"/>
      <c r="E37" s="19"/>
      <c r="F37" s="19"/>
      <c r="G37" s="19"/>
      <c r="H37" s="20"/>
    </row>
    <row r="38" spans="1:8" x14ac:dyDescent="0.2">
      <c r="A38" s="11"/>
      <c r="B38" s="12"/>
      <c r="C38" s="17"/>
      <c r="D38" s="18"/>
      <c r="E38" s="19"/>
      <c r="F38" s="19"/>
      <c r="G38" s="19"/>
      <c r="H38" s="20"/>
    </row>
    <row r="39" spans="1:8" x14ac:dyDescent="0.2">
      <c r="A39" s="11"/>
      <c r="B39" s="12"/>
      <c r="C39" s="17"/>
      <c r="D39" s="18"/>
      <c r="E39" s="19"/>
      <c r="F39" s="19"/>
      <c r="G39" s="19"/>
      <c r="H39" s="20"/>
    </row>
    <row r="40" spans="1:8" x14ac:dyDescent="0.2">
      <c r="A40" s="11"/>
      <c r="B40" s="12"/>
      <c r="C40" s="17"/>
      <c r="D40" s="18"/>
      <c r="E40" s="19"/>
      <c r="F40" s="19"/>
      <c r="G40" s="19"/>
      <c r="H40" s="20"/>
    </row>
    <row r="41" spans="1:8" x14ac:dyDescent="0.2">
      <c r="A41" s="11"/>
      <c r="B41" s="12"/>
      <c r="C41" s="17"/>
      <c r="D41" s="18"/>
      <c r="E41" s="19"/>
      <c r="F41" s="19"/>
      <c r="G41" s="19"/>
      <c r="H41" s="20"/>
    </row>
    <row r="42" spans="1:8" x14ac:dyDescent="0.2">
      <c r="A42" s="11"/>
      <c r="B42" s="12"/>
      <c r="C42" s="17"/>
      <c r="D42" s="18"/>
      <c r="E42" s="19"/>
      <c r="F42" s="19"/>
      <c r="G42" s="19"/>
      <c r="H42" s="20"/>
    </row>
    <row r="43" spans="1:8" ht="30" x14ac:dyDescent="0.3">
      <c r="A43" s="40"/>
      <c r="B43" s="41"/>
      <c r="C43" s="17"/>
      <c r="D43" s="18"/>
      <c r="E43" s="19"/>
      <c r="F43" s="19"/>
      <c r="G43" s="19"/>
      <c r="H43" s="20"/>
    </row>
  </sheetData>
  <mergeCells count="28">
    <mergeCell ref="A40:B40"/>
    <mergeCell ref="A41:B41"/>
    <mergeCell ref="A42:B42"/>
    <mergeCell ref="A32:G32"/>
    <mergeCell ref="A34:B34"/>
    <mergeCell ref="A35:B35"/>
    <mergeCell ref="A36:B36"/>
    <mergeCell ref="A37:B37"/>
    <mergeCell ref="A38:B38"/>
    <mergeCell ref="A39:B39"/>
    <mergeCell ref="A22:G22"/>
    <mergeCell ref="A24:G24"/>
    <mergeCell ref="A26:G26"/>
    <mergeCell ref="A28:H28"/>
    <mergeCell ref="A30:G30"/>
    <mergeCell ref="A33:B33"/>
    <mergeCell ref="A14:B14"/>
    <mergeCell ref="A15:B15"/>
    <mergeCell ref="A16:B16"/>
    <mergeCell ref="A17:B17"/>
    <mergeCell ref="A18:G18"/>
    <mergeCell ref="A20:G20"/>
    <mergeCell ref="A1:B1"/>
    <mergeCell ref="A2:B2"/>
    <mergeCell ref="A3:B3"/>
    <mergeCell ref="A4:B4"/>
    <mergeCell ref="A5:B5"/>
    <mergeCell ref="A13:B13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view="pageLayout" zoomScaleNormal="100" workbookViewId="0">
      <selection activeCell="G3" sqref="G3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42" customWidth="1"/>
    <col min="4" max="4" width="46" customWidth="1"/>
    <col min="5" max="5" width="8" customWidth="1"/>
    <col min="6" max="7" width="10" customWidth="1"/>
    <col min="8" max="8" width="14" customWidth="1"/>
  </cols>
  <sheetData>
    <row r="1" spans="1:8" ht="2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20" customHeight="1" x14ac:dyDescent="0.2">
      <c r="A2" s="8" t="s">
        <v>8</v>
      </c>
      <c r="B2" s="9"/>
      <c r="C2" s="9"/>
      <c r="D2" s="9"/>
      <c r="E2" s="9"/>
      <c r="F2" s="9"/>
      <c r="G2" s="9"/>
      <c r="H2" s="9"/>
    </row>
    <row r="3" spans="1:8" ht="48" x14ac:dyDescent="0.2">
      <c r="A3" s="1" t="s">
        <v>9</v>
      </c>
      <c r="B3" s="1" t="s">
        <v>10</v>
      </c>
      <c r="C3" s="2" t="s">
        <v>11</v>
      </c>
      <c r="D3" s="2" t="s">
        <v>12</v>
      </c>
      <c r="E3" s="1" t="s">
        <v>13</v>
      </c>
      <c r="F3" s="1">
        <v>1</v>
      </c>
      <c r="G3" s="3">
        <v>1600</v>
      </c>
      <c r="H3" s="3">
        <f>F3*G3</f>
        <v>1600</v>
      </c>
    </row>
    <row r="5" spans="1:8" ht="20" customHeight="1" x14ac:dyDescent="0.2">
      <c r="A5" s="8" t="s">
        <v>14</v>
      </c>
      <c r="B5" s="9"/>
      <c r="C5" s="9"/>
      <c r="D5" s="9"/>
      <c r="E5" s="9"/>
      <c r="F5" s="9"/>
      <c r="G5" s="9"/>
      <c r="H5" s="9"/>
    </row>
    <row r="6" spans="1:8" ht="16" x14ac:dyDescent="0.2">
      <c r="A6" s="1" t="s">
        <v>15</v>
      </c>
      <c r="B6" s="1" t="s">
        <v>16</v>
      </c>
      <c r="C6" s="2" t="s">
        <v>17</v>
      </c>
      <c r="D6" s="2" t="s">
        <v>18</v>
      </c>
      <c r="E6" s="1" t="s">
        <v>19</v>
      </c>
      <c r="F6" s="1">
        <v>3</v>
      </c>
      <c r="G6" s="3">
        <v>120</v>
      </c>
      <c r="H6" s="3">
        <f>F6*G6</f>
        <v>360</v>
      </c>
    </row>
    <row r="7" spans="1:8" ht="32" x14ac:dyDescent="0.2">
      <c r="A7" s="1" t="s">
        <v>20</v>
      </c>
      <c r="B7" s="1" t="s">
        <v>21</v>
      </c>
      <c r="C7" s="2" t="s">
        <v>22</v>
      </c>
      <c r="D7" s="2" t="s">
        <v>23</v>
      </c>
      <c r="E7" s="1" t="s">
        <v>13</v>
      </c>
      <c r="F7" s="1">
        <v>1</v>
      </c>
      <c r="G7" s="3">
        <v>550</v>
      </c>
      <c r="H7" s="3">
        <f>F7*G7</f>
        <v>550</v>
      </c>
    </row>
    <row r="8" spans="1:8" ht="16" x14ac:dyDescent="0.2">
      <c r="A8" s="1" t="s">
        <v>24</v>
      </c>
      <c r="B8" s="1" t="s">
        <v>16</v>
      </c>
      <c r="C8" s="2" t="s">
        <v>25</v>
      </c>
      <c r="D8" s="2" t="s">
        <v>26</v>
      </c>
      <c r="E8" s="1" t="s">
        <v>13</v>
      </c>
      <c r="F8" s="1">
        <v>1</v>
      </c>
      <c r="G8" s="3">
        <v>220</v>
      </c>
      <c r="H8" s="3">
        <f>F8*G8</f>
        <v>220</v>
      </c>
    </row>
    <row r="9" spans="1:8" x14ac:dyDescent="0.2">
      <c r="G9" s="4" t="s">
        <v>27</v>
      </c>
      <c r="H9" s="3">
        <f>SUM(H3:H8)</f>
        <v>2730</v>
      </c>
    </row>
  </sheetData>
  <mergeCells count="2">
    <mergeCell ref="A2:H2"/>
    <mergeCell ref="A5:H5"/>
  </mergeCells>
  <pageMargins left="0.5" right="0.5" top="0.6" bottom="0.6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A22" sqref="A22:H22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42" customWidth="1"/>
    <col min="4" max="4" width="46" customWidth="1"/>
    <col min="5" max="5" width="8" customWidth="1"/>
    <col min="6" max="7" width="10" customWidth="1"/>
    <col min="8" max="8" width="14" customWidth="1"/>
  </cols>
  <sheetData>
    <row r="1" spans="1:8" ht="2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20" customHeight="1" x14ac:dyDescent="0.2">
      <c r="A2" s="8" t="s">
        <v>28</v>
      </c>
      <c r="B2" s="9"/>
      <c r="C2" s="9"/>
      <c r="D2" s="9"/>
      <c r="E2" s="9"/>
      <c r="F2" s="9"/>
      <c r="G2" s="9"/>
      <c r="H2" s="9"/>
    </row>
    <row r="3" spans="1:8" ht="32" x14ac:dyDescent="0.2">
      <c r="A3" s="1" t="s">
        <v>29</v>
      </c>
      <c r="B3" s="1" t="s">
        <v>30</v>
      </c>
      <c r="C3" s="2" t="s">
        <v>31</v>
      </c>
      <c r="D3" s="2" t="s">
        <v>32</v>
      </c>
      <c r="E3" s="1" t="s">
        <v>13</v>
      </c>
      <c r="F3" s="1">
        <v>1</v>
      </c>
      <c r="G3" s="3">
        <v>2280</v>
      </c>
      <c r="H3" s="3">
        <f t="shared" ref="H3:H12" si="0">F3*G3</f>
        <v>2280</v>
      </c>
    </row>
    <row r="4" spans="1:8" ht="32" x14ac:dyDescent="0.2">
      <c r="A4" s="1" t="s">
        <v>33</v>
      </c>
      <c r="B4" s="1" t="s">
        <v>34</v>
      </c>
      <c r="C4" s="2" t="s">
        <v>35</v>
      </c>
      <c r="D4" s="2" t="s">
        <v>36</v>
      </c>
      <c r="E4" s="1" t="s">
        <v>13</v>
      </c>
      <c r="F4" s="1">
        <v>1</v>
      </c>
      <c r="G4" s="3">
        <v>1420</v>
      </c>
      <c r="H4" s="3">
        <f t="shared" si="0"/>
        <v>1420</v>
      </c>
    </row>
    <row r="5" spans="1:8" ht="32" x14ac:dyDescent="0.2">
      <c r="A5" s="1" t="s">
        <v>37</v>
      </c>
      <c r="B5" s="1" t="s">
        <v>16</v>
      </c>
      <c r="C5" s="2" t="s">
        <v>38</v>
      </c>
      <c r="D5" s="2" t="s">
        <v>39</v>
      </c>
      <c r="E5" s="1" t="s">
        <v>40</v>
      </c>
      <c r="F5" s="1">
        <v>120</v>
      </c>
      <c r="G5" s="3">
        <v>35</v>
      </c>
      <c r="H5" s="3">
        <f t="shared" si="0"/>
        <v>4200</v>
      </c>
    </row>
    <row r="6" spans="1:8" ht="32" x14ac:dyDescent="0.2">
      <c r="A6" s="1" t="s">
        <v>41</v>
      </c>
      <c r="B6" s="1" t="s">
        <v>34</v>
      </c>
      <c r="C6" s="2" t="s">
        <v>42</v>
      </c>
      <c r="D6" s="2" t="s">
        <v>43</v>
      </c>
      <c r="E6" s="1" t="s">
        <v>13</v>
      </c>
      <c r="F6" s="1">
        <v>1</v>
      </c>
      <c r="G6" s="3">
        <v>1150</v>
      </c>
      <c r="H6" s="3">
        <f t="shared" si="0"/>
        <v>1150</v>
      </c>
    </row>
    <row r="7" spans="1:8" ht="32" x14ac:dyDescent="0.2">
      <c r="A7" s="1" t="s">
        <v>44</v>
      </c>
      <c r="B7" s="1" t="s">
        <v>45</v>
      </c>
      <c r="C7" s="2" t="s">
        <v>46</v>
      </c>
      <c r="D7" s="2" t="s">
        <v>47</v>
      </c>
      <c r="E7" s="1" t="s">
        <v>13</v>
      </c>
      <c r="F7" s="1">
        <v>1</v>
      </c>
      <c r="G7" s="3">
        <v>820</v>
      </c>
      <c r="H7" s="3">
        <f t="shared" si="0"/>
        <v>820</v>
      </c>
    </row>
    <row r="8" spans="1:8" ht="32" x14ac:dyDescent="0.2">
      <c r="A8" s="1" t="s">
        <v>48</v>
      </c>
      <c r="B8" s="1" t="s">
        <v>30</v>
      </c>
      <c r="C8" s="2" t="s">
        <v>49</v>
      </c>
      <c r="D8" s="2" t="s">
        <v>50</v>
      </c>
      <c r="E8" s="1" t="s">
        <v>13</v>
      </c>
      <c r="F8" s="1">
        <v>1</v>
      </c>
      <c r="G8" s="3">
        <v>1560</v>
      </c>
      <c r="H8" s="3">
        <f t="shared" si="0"/>
        <v>1560</v>
      </c>
    </row>
    <row r="9" spans="1:8" ht="32" x14ac:dyDescent="0.2">
      <c r="A9" s="1" t="s">
        <v>51</v>
      </c>
      <c r="B9" s="1" t="s">
        <v>30</v>
      </c>
      <c r="C9" s="2" t="s">
        <v>52</v>
      </c>
      <c r="D9" s="2" t="s">
        <v>53</v>
      </c>
      <c r="E9" s="1" t="s">
        <v>13</v>
      </c>
      <c r="F9" s="1">
        <v>1</v>
      </c>
      <c r="G9" s="3">
        <v>680</v>
      </c>
      <c r="H9" s="3">
        <f t="shared" si="0"/>
        <v>680</v>
      </c>
    </row>
    <row r="10" spans="1:8" ht="32" x14ac:dyDescent="0.2">
      <c r="A10" s="1" t="s">
        <v>54</v>
      </c>
      <c r="B10" s="1" t="s">
        <v>30</v>
      </c>
      <c r="C10" s="2" t="s">
        <v>55</v>
      </c>
      <c r="D10" s="2" t="s">
        <v>56</v>
      </c>
      <c r="E10" s="1" t="s">
        <v>13</v>
      </c>
      <c r="F10" s="1">
        <v>1</v>
      </c>
      <c r="G10" s="3">
        <v>950</v>
      </c>
      <c r="H10" s="3">
        <f t="shared" si="0"/>
        <v>950</v>
      </c>
    </row>
    <row r="11" spans="1:8" ht="16" x14ac:dyDescent="0.2">
      <c r="A11" s="1" t="s">
        <v>57</v>
      </c>
      <c r="B11" s="1" t="s">
        <v>16</v>
      </c>
      <c r="C11" s="2" t="s">
        <v>58</v>
      </c>
      <c r="D11" s="2" t="s">
        <v>59</v>
      </c>
      <c r="E11" s="1" t="s">
        <v>40</v>
      </c>
      <c r="F11" s="1">
        <v>20</v>
      </c>
      <c r="G11" s="3">
        <v>35</v>
      </c>
      <c r="H11" s="3">
        <f t="shared" si="0"/>
        <v>700</v>
      </c>
    </row>
    <row r="12" spans="1:8" ht="32" x14ac:dyDescent="0.2">
      <c r="A12" s="1" t="s">
        <v>60</v>
      </c>
      <c r="B12" s="1" t="s">
        <v>30</v>
      </c>
      <c r="C12" s="2" t="s">
        <v>61</v>
      </c>
      <c r="D12" s="2" t="s">
        <v>62</v>
      </c>
      <c r="E12" s="1" t="s">
        <v>19</v>
      </c>
      <c r="F12" s="1">
        <v>4</v>
      </c>
      <c r="G12" s="3">
        <v>420</v>
      </c>
      <c r="H12" s="3">
        <f t="shared" si="0"/>
        <v>1680</v>
      </c>
    </row>
    <row r="14" spans="1:8" ht="20" customHeight="1" x14ac:dyDescent="0.2">
      <c r="A14" s="8" t="s">
        <v>63</v>
      </c>
      <c r="B14" s="9"/>
      <c r="C14" s="9"/>
      <c r="D14" s="9"/>
      <c r="E14" s="9"/>
      <c r="F14" s="9"/>
      <c r="G14" s="9"/>
      <c r="H14" s="9"/>
    </row>
    <row r="15" spans="1:8" ht="16" x14ac:dyDescent="0.2">
      <c r="A15" s="1" t="s">
        <v>64</v>
      </c>
      <c r="B15" s="1" t="s">
        <v>16</v>
      </c>
      <c r="C15" s="2" t="s">
        <v>65</v>
      </c>
      <c r="D15" s="2" t="s">
        <v>66</v>
      </c>
      <c r="E15" s="1" t="s">
        <v>13</v>
      </c>
      <c r="F15" s="1">
        <v>1</v>
      </c>
      <c r="G15" s="3">
        <v>455</v>
      </c>
      <c r="H15" s="3">
        <f>F15*G15</f>
        <v>455</v>
      </c>
    </row>
    <row r="16" spans="1:8" ht="16" x14ac:dyDescent="0.2">
      <c r="A16" s="1" t="s">
        <v>67</v>
      </c>
      <c r="B16" s="1" t="s">
        <v>16</v>
      </c>
      <c r="C16" s="2" t="s">
        <v>68</v>
      </c>
      <c r="D16" s="2" t="s">
        <v>69</v>
      </c>
      <c r="E16" s="1" t="s">
        <v>40</v>
      </c>
      <c r="F16" s="1">
        <v>5</v>
      </c>
      <c r="G16" s="3">
        <v>35</v>
      </c>
      <c r="H16" s="3">
        <f>F16*G16</f>
        <v>175</v>
      </c>
    </row>
    <row r="18" spans="1:8" ht="20" customHeight="1" x14ac:dyDescent="0.2">
      <c r="A18" s="8" t="s">
        <v>70</v>
      </c>
      <c r="B18" s="9"/>
      <c r="C18" s="9"/>
      <c r="D18" s="9"/>
      <c r="E18" s="9"/>
      <c r="F18" s="9"/>
      <c r="G18" s="9"/>
      <c r="H18" s="9"/>
    </row>
    <row r="19" spans="1:8" ht="32" x14ac:dyDescent="0.2">
      <c r="A19" s="1" t="s">
        <v>71</v>
      </c>
      <c r="B19" s="1" t="s">
        <v>30</v>
      </c>
      <c r="C19" s="2" t="s">
        <v>72</v>
      </c>
      <c r="D19" s="2" t="s">
        <v>73</v>
      </c>
      <c r="E19" s="1" t="s">
        <v>13</v>
      </c>
      <c r="F19" s="1">
        <v>1</v>
      </c>
      <c r="G19" s="3">
        <v>620</v>
      </c>
      <c r="H19" s="3">
        <f>F19*G19</f>
        <v>620</v>
      </c>
    </row>
    <row r="20" spans="1:8" ht="32" x14ac:dyDescent="0.2">
      <c r="A20" s="1" t="s">
        <v>74</v>
      </c>
      <c r="B20" s="1" t="s">
        <v>30</v>
      </c>
      <c r="C20" s="2" t="s">
        <v>75</v>
      </c>
      <c r="D20" s="2" t="s">
        <v>76</v>
      </c>
      <c r="E20" s="1" t="s">
        <v>40</v>
      </c>
      <c r="F20" s="1">
        <v>8</v>
      </c>
      <c r="G20" s="3">
        <v>35</v>
      </c>
      <c r="H20" s="3">
        <f>F20*G20</f>
        <v>280</v>
      </c>
    </row>
    <row r="22" spans="1:8" ht="20" customHeight="1" x14ac:dyDescent="0.2">
      <c r="A22" s="8" t="s">
        <v>77</v>
      </c>
      <c r="B22" s="9"/>
      <c r="C22" s="9"/>
      <c r="D22" s="9"/>
      <c r="E22" s="9"/>
      <c r="F22" s="9"/>
      <c r="G22" s="9"/>
      <c r="H22" s="9"/>
    </row>
    <row r="23" spans="1:8" ht="16" x14ac:dyDescent="0.2">
      <c r="A23" s="1" t="s">
        <v>78</v>
      </c>
      <c r="B23" s="1" t="s">
        <v>79</v>
      </c>
      <c r="C23" s="2" t="s">
        <v>80</v>
      </c>
      <c r="D23" s="2" t="s">
        <v>81</v>
      </c>
      <c r="E23" s="1" t="s">
        <v>13</v>
      </c>
      <c r="F23" s="1">
        <v>1</v>
      </c>
      <c r="G23" s="3">
        <v>830</v>
      </c>
      <c r="H23" s="3">
        <f>F23*G23</f>
        <v>830</v>
      </c>
    </row>
    <row r="24" spans="1:8" ht="32" x14ac:dyDescent="0.2">
      <c r="A24" s="1" t="s">
        <v>82</v>
      </c>
      <c r="B24" s="1" t="s">
        <v>30</v>
      </c>
      <c r="C24" s="2" t="s">
        <v>83</v>
      </c>
      <c r="D24" s="2" t="s">
        <v>84</v>
      </c>
      <c r="E24" s="1" t="s">
        <v>13</v>
      </c>
      <c r="F24" s="1">
        <v>1</v>
      </c>
      <c r="G24" s="3">
        <v>765</v>
      </c>
      <c r="H24" s="3">
        <f>F24*G24</f>
        <v>765</v>
      </c>
    </row>
    <row r="25" spans="1:8" ht="32" x14ac:dyDescent="0.2">
      <c r="A25" s="1" t="s">
        <v>85</v>
      </c>
      <c r="B25" s="1" t="s">
        <v>86</v>
      </c>
      <c r="C25" s="2" t="s">
        <v>87</v>
      </c>
      <c r="D25" s="2" t="s">
        <v>88</v>
      </c>
      <c r="E25" s="1" t="s">
        <v>13</v>
      </c>
      <c r="F25" s="1">
        <v>1</v>
      </c>
      <c r="G25" s="3">
        <v>380</v>
      </c>
      <c r="H25" s="3">
        <f>F25*G25</f>
        <v>380</v>
      </c>
    </row>
    <row r="26" spans="1:8" ht="16" x14ac:dyDescent="0.2">
      <c r="A26" s="1" t="s">
        <v>89</v>
      </c>
      <c r="B26" s="1" t="s">
        <v>30</v>
      </c>
      <c r="C26" s="2" t="s">
        <v>90</v>
      </c>
      <c r="D26" s="2" t="s">
        <v>91</v>
      </c>
      <c r="E26" s="1" t="s">
        <v>13</v>
      </c>
      <c r="F26" s="1">
        <v>1</v>
      </c>
      <c r="G26" s="3">
        <v>260</v>
      </c>
      <c r="H26" s="3">
        <f>F26*G26</f>
        <v>260</v>
      </c>
    </row>
    <row r="27" spans="1:8" ht="16" x14ac:dyDescent="0.2">
      <c r="A27" s="1" t="s">
        <v>92</v>
      </c>
      <c r="B27" s="1" t="s">
        <v>16</v>
      </c>
      <c r="C27" s="2" t="s">
        <v>93</v>
      </c>
      <c r="D27" s="2" t="s">
        <v>94</v>
      </c>
      <c r="E27" s="1" t="s">
        <v>40</v>
      </c>
      <c r="F27" s="1">
        <v>18</v>
      </c>
      <c r="G27" s="3">
        <v>35</v>
      </c>
      <c r="H27" s="3">
        <f>F27*G27</f>
        <v>630</v>
      </c>
    </row>
    <row r="28" spans="1:8" x14ac:dyDescent="0.2">
      <c r="G28" s="4" t="s">
        <v>27</v>
      </c>
      <c r="H28" s="3">
        <f>SUM(H3:H27)</f>
        <v>19835</v>
      </c>
    </row>
  </sheetData>
  <mergeCells count="4">
    <mergeCell ref="A2:H2"/>
    <mergeCell ref="A14:H14"/>
    <mergeCell ref="A18:H18"/>
    <mergeCell ref="A22:H22"/>
  </mergeCells>
  <pageMargins left="0.5" right="0.5" top="0.6" bottom="0.6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abSelected="1" zoomScale="146" zoomScaleNormal="146" workbookViewId="0">
      <selection activeCell="D3" sqref="D3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42" customWidth="1"/>
    <col min="4" max="4" width="46" customWidth="1"/>
    <col min="5" max="5" width="8" customWidth="1"/>
    <col min="6" max="7" width="10" customWidth="1"/>
    <col min="8" max="8" width="14" customWidth="1"/>
  </cols>
  <sheetData>
    <row r="1" spans="1:8" ht="2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20" customHeight="1" x14ac:dyDescent="0.2">
      <c r="A2" s="8" t="s">
        <v>95</v>
      </c>
      <c r="B2" s="9"/>
      <c r="C2" s="9"/>
      <c r="D2" s="9"/>
      <c r="E2" s="9"/>
      <c r="F2" s="9"/>
      <c r="G2" s="9"/>
      <c r="H2" s="9"/>
    </row>
    <row r="3" spans="1:8" ht="32" x14ac:dyDescent="0.2">
      <c r="A3" s="1" t="s">
        <v>96</v>
      </c>
      <c r="B3" s="1" t="s">
        <v>16</v>
      </c>
      <c r="C3" s="2" t="s">
        <v>97</v>
      </c>
      <c r="D3" s="2" t="s">
        <v>98</v>
      </c>
      <c r="E3" s="1" t="s">
        <v>40</v>
      </c>
      <c r="F3" s="1">
        <v>6</v>
      </c>
      <c r="G3" s="3">
        <v>55</v>
      </c>
      <c r="H3" s="3">
        <f>F3*G3</f>
        <v>330</v>
      </c>
    </row>
    <row r="4" spans="1:8" ht="16" x14ac:dyDescent="0.2">
      <c r="A4" s="1" t="s">
        <v>99</v>
      </c>
      <c r="B4" s="1" t="s">
        <v>16</v>
      </c>
      <c r="C4" s="2" t="s">
        <v>100</v>
      </c>
      <c r="D4" s="2" t="s">
        <v>101</v>
      </c>
      <c r="E4" s="1" t="s">
        <v>13</v>
      </c>
      <c r="F4" s="1">
        <v>1</v>
      </c>
      <c r="G4" s="3">
        <v>250</v>
      </c>
      <c r="H4" s="3">
        <f>F4*G4</f>
        <v>250</v>
      </c>
    </row>
    <row r="6" spans="1:8" ht="20" customHeight="1" x14ac:dyDescent="0.2">
      <c r="A6" s="8" t="s">
        <v>102</v>
      </c>
      <c r="B6" s="9"/>
      <c r="C6" s="9"/>
      <c r="D6" s="9"/>
      <c r="E6" s="9"/>
      <c r="F6" s="9"/>
      <c r="G6" s="9"/>
      <c r="H6" s="9"/>
    </row>
    <row r="7" spans="1:8" ht="32" x14ac:dyDescent="0.2">
      <c r="A7" s="1" t="s">
        <v>103</v>
      </c>
      <c r="B7" s="1" t="s">
        <v>104</v>
      </c>
      <c r="C7" s="2" t="s">
        <v>105</v>
      </c>
      <c r="D7" s="2" t="s">
        <v>106</v>
      </c>
      <c r="E7" s="1" t="s">
        <v>13</v>
      </c>
      <c r="F7" s="1">
        <v>1</v>
      </c>
      <c r="G7" s="3">
        <v>975</v>
      </c>
      <c r="H7" s="3">
        <f>F7*G7</f>
        <v>975</v>
      </c>
    </row>
    <row r="8" spans="1:8" ht="16" x14ac:dyDescent="0.2">
      <c r="A8" s="1" t="s">
        <v>107</v>
      </c>
      <c r="B8" s="1" t="s">
        <v>30</v>
      </c>
      <c r="C8" s="2" t="s">
        <v>108</v>
      </c>
      <c r="D8" s="2" t="s">
        <v>109</v>
      </c>
      <c r="E8" s="1" t="s">
        <v>13</v>
      </c>
      <c r="F8" s="1">
        <v>1</v>
      </c>
      <c r="G8" s="3">
        <v>450</v>
      </c>
      <c r="H8" s="3">
        <f>F8*G8</f>
        <v>450</v>
      </c>
    </row>
    <row r="9" spans="1:8" ht="16" x14ac:dyDescent="0.2">
      <c r="A9" s="1" t="s">
        <v>110</v>
      </c>
      <c r="B9" s="1" t="s">
        <v>30</v>
      </c>
      <c r="C9" s="2" t="s">
        <v>111</v>
      </c>
      <c r="D9" s="2" t="s">
        <v>112</v>
      </c>
      <c r="E9" s="1" t="s">
        <v>40</v>
      </c>
      <c r="F9" s="1">
        <v>10</v>
      </c>
      <c r="G9" s="3">
        <v>35</v>
      </c>
      <c r="H9" s="3">
        <f>F9*G9</f>
        <v>350</v>
      </c>
    </row>
    <row r="11" spans="1:8" ht="20" customHeight="1" x14ac:dyDescent="0.2">
      <c r="A11" s="8" t="s">
        <v>113</v>
      </c>
      <c r="B11" s="9"/>
      <c r="C11" s="9"/>
      <c r="D11" s="9"/>
      <c r="E11" s="9"/>
      <c r="F11" s="9"/>
      <c r="G11" s="9"/>
      <c r="H11" s="9"/>
    </row>
    <row r="12" spans="1:8" ht="16" x14ac:dyDescent="0.2">
      <c r="A12" s="1" t="s">
        <v>114</v>
      </c>
      <c r="B12" s="1" t="s">
        <v>104</v>
      </c>
      <c r="C12" s="2" t="s">
        <v>115</v>
      </c>
      <c r="D12" s="2" t="s">
        <v>115</v>
      </c>
      <c r="E12" s="1" t="s">
        <v>13</v>
      </c>
      <c r="F12" s="1">
        <v>1</v>
      </c>
      <c r="G12" s="3">
        <v>975</v>
      </c>
      <c r="H12" s="3">
        <f>F12*G12</f>
        <v>975</v>
      </c>
    </row>
    <row r="13" spans="1:8" ht="16" x14ac:dyDescent="0.2">
      <c r="A13" s="1" t="s">
        <v>116</v>
      </c>
      <c r="B13" s="1" t="s">
        <v>30</v>
      </c>
      <c r="C13" s="2" t="s">
        <v>117</v>
      </c>
      <c r="D13" s="2" t="s">
        <v>118</v>
      </c>
      <c r="E13" s="1" t="s">
        <v>13</v>
      </c>
      <c r="F13" s="1">
        <v>1</v>
      </c>
      <c r="G13" s="3">
        <v>450</v>
      </c>
      <c r="H13" s="3">
        <f>F13*G13</f>
        <v>450</v>
      </c>
    </row>
    <row r="14" spans="1:8" ht="16" x14ac:dyDescent="0.2">
      <c r="A14" s="1" t="s">
        <v>119</v>
      </c>
      <c r="B14" s="1" t="s">
        <v>30</v>
      </c>
      <c r="C14" s="2" t="s">
        <v>120</v>
      </c>
      <c r="D14" s="2" t="s">
        <v>121</v>
      </c>
      <c r="E14" s="1" t="s">
        <v>40</v>
      </c>
      <c r="F14" s="1">
        <v>10</v>
      </c>
      <c r="G14" s="3">
        <v>35</v>
      </c>
      <c r="H14" s="3">
        <f>F14*G14</f>
        <v>350</v>
      </c>
    </row>
    <row r="16" spans="1:8" ht="20" customHeight="1" x14ac:dyDescent="0.2">
      <c r="A16" s="8" t="s">
        <v>122</v>
      </c>
      <c r="B16" s="9"/>
      <c r="C16" s="9"/>
      <c r="D16" s="9"/>
      <c r="E16" s="9"/>
      <c r="F16" s="9"/>
      <c r="G16" s="9"/>
      <c r="H16" s="9"/>
    </row>
    <row r="17" spans="1:8" ht="32" x14ac:dyDescent="0.2">
      <c r="A17" s="1" t="s">
        <v>123</v>
      </c>
      <c r="B17" s="1" t="s">
        <v>124</v>
      </c>
      <c r="C17" s="2" t="s">
        <v>125</v>
      </c>
      <c r="D17" s="2" t="s">
        <v>126</v>
      </c>
      <c r="E17" s="1" t="s">
        <v>13</v>
      </c>
      <c r="F17" s="1">
        <v>1</v>
      </c>
      <c r="G17" s="3">
        <v>710</v>
      </c>
      <c r="H17" s="3">
        <f>F17*G17</f>
        <v>710</v>
      </c>
    </row>
    <row r="18" spans="1:8" ht="32" x14ac:dyDescent="0.2">
      <c r="A18" s="1" t="s">
        <v>127</v>
      </c>
      <c r="B18" s="1" t="s">
        <v>30</v>
      </c>
      <c r="C18" s="2" t="s">
        <v>128</v>
      </c>
      <c r="D18" s="2" t="s">
        <v>129</v>
      </c>
      <c r="E18" s="1" t="s">
        <v>13</v>
      </c>
      <c r="F18" s="1">
        <v>1</v>
      </c>
      <c r="G18" s="3">
        <v>590</v>
      </c>
      <c r="H18" s="3">
        <f>F18*G18</f>
        <v>590</v>
      </c>
    </row>
    <row r="19" spans="1:8" ht="16" x14ac:dyDescent="0.2">
      <c r="A19" s="1" t="s">
        <v>130</v>
      </c>
      <c r="B19" s="1" t="s">
        <v>21</v>
      </c>
      <c r="C19" s="2" t="s">
        <v>131</v>
      </c>
      <c r="D19" s="2" t="s">
        <v>132</v>
      </c>
      <c r="E19" s="1" t="s">
        <v>13</v>
      </c>
      <c r="F19" s="1">
        <v>1</v>
      </c>
      <c r="G19" s="3">
        <v>120</v>
      </c>
      <c r="H19" s="3">
        <f>F19*G19</f>
        <v>120</v>
      </c>
    </row>
    <row r="20" spans="1:8" ht="16" x14ac:dyDescent="0.2">
      <c r="A20" s="1" t="s">
        <v>133</v>
      </c>
      <c r="B20" s="1" t="s">
        <v>16</v>
      </c>
      <c r="C20" s="2" t="s">
        <v>134</v>
      </c>
      <c r="D20" s="2" t="s">
        <v>135</v>
      </c>
      <c r="E20" s="1" t="s">
        <v>40</v>
      </c>
      <c r="F20" s="1">
        <v>30</v>
      </c>
      <c r="G20" s="3">
        <v>35</v>
      </c>
      <c r="H20" s="3">
        <f>F20*G20</f>
        <v>1050</v>
      </c>
    </row>
    <row r="21" spans="1:8" ht="32" x14ac:dyDescent="0.2">
      <c r="A21" s="1" t="s">
        <v>136</v>
      </c>
      <c r="B21" s="1" t="s">
        <v>34</v>
      </c>
      <c r="C21" s="2" t="s">
        <v>137</v>
      </c>
      <c r="D21" s="2" t="s">
        <v>138</v>
      </c>
      <c r="E21" s="1" t="s">
        <v>13</v>
      </c>
      <c r="F21" s="1">
        <v>1</v>
      </c>
      <c r="G21" s="3">
        <v>480</v>
      </c>
      <c r="H21" s="3">
        <f>F21*G21</f>
        <v>480</v>
      </c>
    </row>
    <row r="23" spans="1:8" ht="20" customHeight="1" x14ac:dyDescent="0.2">
      <c r="A23" s="8" t="s">
        <v>162</v>
      </c>
      <c r="B23" s="9"/>
      <c r="C23" s="9"/>
      <c r="D23" s="9"/>
      <c r="E23" s="9"/>
      <c r="F23" s="9"/>
      <c r="G23" s="9"/>
      <c r="H23" s="9"/>
    </row>
    <row r="24" spans="1:8" ht="32" x14ac:dyDescent="0.2">
      <c r="A24" s="1" t="s">
        <v>139</v>
      </c>
      <c r="B24" s="1" t="s">
        <v>30</v>
      </c>
      <c r="C24" s="2" t="s">
        <v>140</v>
      </c>
      <c r="D24" s="2" t="s">
        <v>141</v>
      </c>
      <c r="E24" s="1" t="s">
        <v>13</v>
      </c>
      <c r="F24" s="1">
        <v>1</v>
      </c>
      <c r="G24" s="3">
        <v>580</v>
      </c>
      <c r="H24" s="3">
        <f>F24*G24</f>
        <v>580</v>
      </c>
    </row>
    <row r="25" spans="1:8" ht="16" x14ac:dyDescent="0.2">
      <c r="A25" s="1" t="s">
        <v>142</v>
      </c>
      <c r="B25" s="1" t="s">
        <v>16</v>
      </c>
      <c r="C25" s="2" t="s">
        <v>143</v>
      </c>
      <c r="D25" s="2" t="s">
        <v>144</v>
      </c>
      <c r="E25" s="1" t="s">
        <v>13</v>
      </c>
      <c r="F25" s="1">
        <v>1</v>
      </c>
      <c r="G25" s="3">
        <v>180</v>
      </c>
      <c r="H25" s="3">
        <f>F25*G25</f>
        <v>180</v>
      </c>
    </row>
    <row r="26" spans="1:8" ht="16" x14ac:dyDescent="0.2">
      <c r="A26" s="1" t="s">
        <v>145</v>
      </c>
      <c r="B26" s="1" t="s">
        <v>86</v>
      </c>
      <c r="C26" s="2" t="s">
        <v>146</v>
      </c>
      <c r="D26" s="2" t="s">
        <v>147</v>
      </c>
      <c r="E26" s="1" t="s">
        <v>13</v>
      </c>
      <c r="F26" s="1">
        <v>1</v>
      </c>
      <c r="G26" s="3">
        <v>310</v>
      </c>
      <c r="H26" s="3">
        <f>F26*G26</f>
        <v>310</v>
      </c>
    </row>
    <row r="27" spans="1:8" x14ac:dyDescent="0.2">
      <c r="G27" s="4" t="s">
        <v>27</v>
      </c>
      <c r="H27" s="3">
        <f>SUM(H3:H26)</f>
        <v>8150</v>
      </c>
    </row>
  </sheetData>
  <mergeCells count="5">
    <mergeCell ref="A2:H2"/>
    <mergeCell ref="A6:H6"/>
    <mergeCell ref="A11:H11"/>
    <mergeCell ref="A16:H16"/>
    <mergeCell ref="A23:H23"/>
  </mergeCells>
  <pageMargins left="0.5" right="0.5" top="0.6" bottom="0.6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40" customWidth="1"/>
    <col min="2" max="2" width="22" customWidth="1"/>
  </cols>
  <sheetData>
    <row r="1" spans="1:2" ht="21" x14ac:dyDescent="0.25">
      <c r="A1" s="5" t="s">
        <v>148</v>
      </c>
    </row>
    <row r="3" spans="1:2" x14ac:dyDescent="0.2">
      <c r="A3" s="10" t="s">
        <v>149</v>
      </c>
      <c r="B3" s="10" t="s">
        <v>150</v>
      </c>
    </row>
    <row r="4" spans="1:2" x14ac:dyDescent="0.2">
      <c r="A4" t="s">
        <v>151</v>
      </c>
      <c r="B4" s="6">
        <f>'1 External'!H9</f>
        <v>2730</v>
      </c>
    </row>
    <row r="5" spans="1:2" x14ac:dyDescent="0.2">
      <c r="A5" t="s">
        <v>152</v>
      </c>
      <c r="B5" s="6">
        <f>'2 Ground Floor'!H28</f>
        <v>19835</v>
      </c>
    </row>
    <row r="6" spans="1:2" x14ac:dyDescent="0.2">
      <c r="A6" t="s">
        <v>153</v>
      </c>
      <c r="B6" s="6">
        <f>'3 Basement'!H27</f>
        <v>8150</v>
      </c>
    </row>
    <row r="7" spans="1:2" x14ac:dyDescent="0.2">
      <c r="B7" s="6"/>
    </row>
    <row r="8" spans="1:2" x14ac:dyDescent="0.2">
      <c r="B8" s="6"/>
    </row>
    <row r="9" spans="1:2" x14ac:dyDescent="0.2">
      <c r="B9" s="6"/>
    </row>
    <row r="10" spans="1:2" x14ac:dyDescent="0.2">
      <c r="B10" s="6"/>
    </row>
    <row r="11" spans="1:2" x14ac:dyDescent="0.2">
      <c r="B11" s="6"/>
    </row>
    <row r="12" spans="1:2" x14ac:dyDescent="0.2">
      <c r="A12" t="s">
        <v>154</v>
      </c>
      <c r="B12" s="6">
        <f>SUM(B4:B6)</f>
        <v>30715</v>
      </c>
    </row>
  </sheetData>
  <pageMargins left="0.5" right="0.5" top="0.6" bottom="0.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1 External</vt:lpstr>
      <vt:lpstr>2 Ground Floor</vt:lpstr>
      <vt:lpstr>3 Basement</vt:lpstr>
      <vt:lpstr>4 Summary</vt:lpstr>
      <vt:lpstr>'1 External'!Print_Titles</vt:lpstr>
      <vt:lpstr>'2 Ground Floor'!Print_Titles</vt:lpstr>
      <vt:lpstr>'3 Basement'!Print_Titles</vt:lpstr>
      <vt:lpstr>'4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Loughlin-Gomes</cp:lastModifiedBy>
  <dcterms:created xsi:type="dcterms:W3CDTF">2025-11-04T15:17:23Z</dcterms:created>
  <dcterms:modified xsi:type="dcterms:W3CDTF">2025-11-05T09:11:40Z</dcterms:modified>
</cp:coreProperties>
</file>